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ICKETS_DATASET" sheetId="2" state="visible" r:id="rId2"/>
    <sheet xmlns:r="http://schemas.openxmlformats.org/officeDocument/2006/relationships" name="RESULTAT_AGENT" sheetId="3" state="visible" r:id="rId3"/>
    <sheet xmlns:r="http://schemas.openxmlformats.org/officeDocument/2006/relationships"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color rgb="000000FF"/>
    </font>
    <font>
      <color rgb="00008000"/>
    </font>
    <font>
      <color rgb="00000000"/>
    </font>
    <font>
      <color rgb="00C659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E2F0D9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164" fontId="3" fillId="0" borderId="0" pivotButton="0" quotePrefix="0" xfId="0"/>
    <xf numFmtId="0" fontId="6" fillId="0" borderId="0" applyAlignment="1" pivotButton="0" quotePrefix="0" xfId="0">
      <alignment vertical="top" wrapText="1"/>
    </xf>
    <xf numFmtId="0" fontId="4" fillId="4" borderId="0" pivotButton="0" quotePrefix="0" xfId="0"/>
    <xf numFmtId="1" fontId="5" fillId="0" borderId="0" pivotButton="0" quotePrefix="0" xfId="0"/>
    <xf numFmtId="0" fontId="7" fillId="2" borderId="0" pivotButton="0" quotePrefix="0" xfId="0"/>
    <xf numFmtId="165" fontId="0" fillId="0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DE9D9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des tools choisis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'METRICS'!B22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'METRICS'!$A$23:$A$25</f>
            </numRef>
          </cat>
          <val>
            <numRef>
              <f>'METRICS'!$B$23:$B$25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Nb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20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asetTable" displayName="DatasetTable" ref="A1:J301" headerRowCount="1">
  <autoFilter ref="A1:J301"/>
  <tableColumns count="10">
    <tableColumn id="1" name="ticket_id"/>
    <tableColumn id="2" name="title"/>
    <tableColumn id="3" name="description"/>
    <tableColumn id="4" name="portfolio_attendu"/>
    <tableColumn id="5" name="date_attendue"/>
    <tableColumn id="6" name="type_probleme_reel"/>
    <tableColumn id="7" name="tool_attendu"/>
    <tableColumn id="8" name="resolution_reelle"/>
    <tableColumn id="9" name="commentaire_metier"/>
    <tableColumn id="10" name="difficulte_tick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gentResultTable" displayName="AgentResultTable" ref="A1:O301" headerRowCount="1">
  <autoFilter ref="A1:O301"/>
  <tableColumns count="15">
    <tableColumn id="1" name="ticket_id"/>
    <tableColumn id="2" name="tool_choisi_agent"/>
    <tableColumn id="3" name="portfolio_extrait"/>
    <tableColumn id="4" name="date_extraite"/>
    <tableColumn id="5" name="reponse_agent"/>
    <tableColumn id="6" name="temps_execution_sec"/>
    <tableColumn id="7" name="erreur_execution"/>
    <tableColumn id="8" name="commentaire_revue"/>
    <tableColumn id="9" name="tool_attendu"/>
    <tableColumn id="10" name="portfolio_attendu"/>
    <tableColumn id="11" name="date_attendue"/>
    <tableColumn id="12" name="tool_correct"/>
    <tableColumn id="13" name="arguments_corrects"/>
    <tableColumn id="14" name="ticket_ambigu"/>
    <tableColumn id="15" name="reponse_a_revoi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  <col width="18" customWidth="1" min="3" max="3"/>
    <col width="18" customWidth="1" min="4" max="4"/>
  </cols>
  <sheetData>
    <row r="1" ht="22" customHeight="1">
      <c r="A1" s="1" t="inlineStr">
        <is>
          <t>Template de backtest pour agent Jira finance</t>
        </is>
      </c>
    </row>
    <row r="2" ht="22" customHeight="1"/>
    <row r="3" ht="22" customHeight="1">
      <c r="A3" s="2" t="inlineStr">
        <is>
          <t>Section</t>
        </is>
      </c>
      <c r="B3" s="2" t="inlineStr">
        <is>
          <t>Description</t>
        </is>
      </c>
    </row>
    <row r="4" ht="22" customHeight="1">
      <c r="A4" s="3" t="inlineStr">
        <is>
          <t>Objectif</t>
        </is>
      </c>
      <c r="B4" s="4" t="inlineStr">
        <is>
          <t>Suivre la qualité du routage tool, l'extraction des arguments, le temps de réponse et la qualité finale sur des tickets Jira résolus.</t>
        </is>
      </c>
    </row>
    <row r="5" ht="22" customHeight="1">
      <c r="A5" s="3" t="inlineStr">
        <is>
          <t>Feuille TICKETS_DATASET</t>
        </is>
      </c>
      <c r="B5" s="4" t="inlineStr">
        <is>
          <t>Vérité terrain. Un ticket par ligne avec le tool attendu, les arguments attendus et la résolution réelle.</t>
        </is>
      </c>
    </row>
    <row r="6" ht="22" customHeight="1">
      <c r="A6" s="3" t="inlineStr">
        <is>
          <t>Feuille RESULTAT_AGENT</t>
        </is>
      </c>
      <c r="B6" s="4" t="inlineStr">
        <is>
          <t>Sortie de l'agent. Une ligne par ticket rejoué avec comparaison automatique contre le dataset.</t>
        </is>
      </c>
    </row>
    <row r="7" ht="22" customHeight="1">
      <c r="A7" s="3" t="inlineStr">
        <is>
          <t>Feuille METRICS</t>
        </is>
      </c>
      <c r="B7" s="4" t="inlineStr">
        <is>
          <t>KPIs automatiques, taux de réussite, temps moyen et matrice de confusion simple.</t>
        </is>
      </c>
    </row>
    <row r="8" ht="22" customHeight="1">
      <c r="A8" s="3" t="inlineStr">
        <is>
          <t>Mode d'emploi</t>
        </is>
      </c>
      <c r="B8" s="4" t="inlineStr">
        <is>
          <t>1. Renseigner TICKETS_DATASET. 2. Rejouer les tickets. 3. Coller les sorties dans RESULTAT_AGENT. 4. Lire les KPIs dans METRICS.</t>
        </is>
      </c>
    </row>
    <row r="9" ht="22" customHeight="1"/>
    <row r="10" ht="22" customHeight="1"/>
    <row r="11" ht="22" customHeight="1">
      <c r="A11" s="2" t="inlineStr">
        <is>
          <t>Conventions</t>
        </is>
      </c>
    </row>
    <row r="12" ht="22" customHeight="1">
      <c r="A12" s="5" t="inlineStr">
        <is>
          <t>Bleu</t>
        </is>
      </c>
      <c r="B12" t="inlineStr">
        <is>
          <t>Inputs manuels dans RESULTAT_AGENT</t>
        </is>
      </c>
    </row>
    <row r="13" ht="22" customHeight="1">
      <c r="A13" s="6" t="inlineStr">
        <is>
          <t>Vert</t>
        </is>
      </c>
      <c r="B13" t="inlineStr">
        <is>
          <t>Valeurs liées/importées depuis TICKETS_DATASET</t>
        </is>
      </c>
    </row>
    <row r="14" ht="22" customHeight="1">
      <c r="A14" s="7" t="inlineStr">
        <is>
          <t>Noir</t>
        </is>
      </c>
      <c r="B14" t="inlineStr">
        <is>
          <t>Formules et calculs</t>
        </is>
      </c>
    </row>
    <row r="15" ht="22" customHeight="1">
      <c r="A15" s="8" t="inlineStr">
        <is>
          <t>Orange</t>
        </is>
      </c>
      <c r="B15" t="inlineStr">
        <is>
          <t>Champs de revue ou ticket ambigu</t>
        </is>
      </c>
    </row>
    <row r="16" ht="22" customHeight="1"/>
    <row r="17" ht="22" customHeight="1"/>
    <row r="18" ht="22" customHeight="1"/>
    <row r="19" ht="22" customHeight="1"/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70" customWidth="1" min="3" max="3"/>
    <col width="18" customWidth="1" min="4" max="4"/>
    <col width="14" customWidth="1" min="5" max="5"/>
    <col width="20" customWidth="1" min="6" max="6"/>
    <col width="18" customWidth="1" min="7" max="7"/>
    <col width="32" customWidth="1" min="8" max="8"/>
    <col width="36" customWidth="1" min="9" max="9"/>
    <col width="16" customWidth="1" min="10" max="10"/>
  </cols>
  <sheetData>
    <row r="1">
      <c r="A1" s="9" t="inlineStr">
        <is>
          <t>ticket_id</t>
        </is>
      </c>
      <c r="B1" s="9" t="inlineStr">
        <is>
          <t>title</t>
        </is>
      </c>
      <c r="C1" s="9" t="inlineStr">
        <is>
          <t>description</t>
        </is>
      </c>
      <c r="D1" s="9" t="inlineStr">
        <is>
          <t>portfolio_attendu</t>
        </is>
      </c>
      <c r="E1" s="9" t="inlineStr">
        <is>
          <t>date_attendue</t>
        </is>
      </c>
      <c r="F1" s="9" t="inlineStr">
        <is>
          <t>type_probleme_reel</t>
        </is>
      </c>
      <c r="G1" s="9" t="inlineStr">
        <is>
          <t>tool_attendu</t>
        </is>
      </c>
      <c r="H1" s="9" t="inlineStr">
        <is>
          <t>resolution_reelle</t>
        </is>
      </c>
      <c r="I1" s="9" t="inlineStr">
        <is>
          <t>commentaire_metier</t>
        </is>
      </c>
      <c r="J1" s="9" t="inlineStr">
        <is>
          <t>difficulte_ticket</t>
        </is>
      </c>
    </row>
    <row r="2" ht="36" customHeight="1">
      <c r="A2" s="5" t="inlineStr">
        <is>
          <t>JIRA-1024</t>
        </is>
      </c>
      <c r="B2" s="5" t="inlineStr">
        <is>
          <t>Ecart valorisation PF001</t>
        </is>
      </c>
      <c r="C2" s="10" t="inlineStr">
        <is>
          <t>Le client signale un écart de NAV sur la date du 2026-03-05 pour le portefeuille PF001.</t>
        </is>
      </c>
      <c r="D2" s="5" t="inlineStr">
        <is>
          <t>PF001</t>
        </is>
      </c>
      <c r="E2" s="5" t="inlineStr">
        <is>
          <t>2026-03-05</t>
        </is>
      </c>
      <c r="F2" s="5" t="inlineStr">
        <is>
          <t>nav_issue</t>
        </is>
      </c>
      <c r="G2" s="5" t="inlineStr">
        <is>
          <t>extract_nav</t>
        </is>
      </c>
      <c r="H2" s="10" t="inlineStr">
        <is>
          <t>NAV confirmée et écart analysé</t>
        </is>
      </c>
      <c r="I2" s="10" t="inlineStr">
        <is>
          <t>Exemple de ticket clair</t>
        </is>
      </c>
      <c r="J2" s="5" t="inlineStr">
        <is>
          <t>simple</t>
        </is>
      </c>
    </row>
    <row r="3" ht="36" customHeight="1">
      <c r="A3" s="5" t="inlineStr">
        <is>
          <t>JIRA-1025</t>
        </is>
      </c>
      <c r="B3" s="5" t="inlineStr">
        <is>
          <t>Performance portefeuille PF007</t>
        </is>
      </c>
      <c r="C3" s="10" t="inlineStr">
        <is>
          <t>Le client souhaite comprendre la variation de performance du portefeuille PF007 au 2026-03-05.</t>
        </is>
      </c>
      <c r="D3" s="5" t="inlineStr">
        <is>
          <t>PF007</t>
        </is>
      </c>
      <c r="E3" s="5" t="inlineStr">
        <is>
          <t>2026-03-05</t>
        </is>
      </c>
      <c r="F3" s="5" t="inlineStr">
        <is>
          <t>performance_issue</t>
        </is>
      </c>
      <c r="G3" s="5" t="inlineStr">
        <is>
          <t>compute_pnl</t>
        </is>
      </c>
      <c r="H3" s="10" t="inlineStr">
        <is>
          <t>PNL calculé et partagé</t>
        </is>
      </c>
      <c r="I3" s="10" t="inlineStr">
        <is>
          <t>Exemple de ticket PNL</t>
        </is>
      </c>
      <c r="J3" s="5" t="inlineStr">
        <is>
          <t>simple</t>
        </is>
      </c>
    </row>
    <row r="4" ht="36" customHeight="1">
      <c r="A4" s="5" t="n"/>
      <c r="B4" s="5" t="n"/>
      <c r="C4" s="10" t="n"/>
      <c r="D4" s="5" t="n"/>
      <c r="E4" s="5" t="n"/>
      <c r="F4" s="5" t="n"/>
      <c r="G4" s="5" t="n"/>
      <c r="H4" s="10" t="n"/>
      <c r="I4" s="10" t="n"/>
      <c r="J4" s="5" t="n"/>
    </row>
    <row r="5" ht="36" customHeight="1">
      <c r="A5" s="5" t="n"/>
      <c r="B5" s="5" t="n"/>
      <c r="C5" s="10" t="n"/>
      <c r="D5" s="5" t="n"/>
      <c r="E5" s="5" t="n"/>
      <c r="F5" s="5" t="n"/>
      <c r="G5" s="5" t="n"/>
      <c r="H5" s="10" t="n"/>
      <c r="I5" s="10" t="n"/>
      <c r="J5" s="5" t="n"/>
    </row>
    <row r="6" ht="36" customHeight="1">
      <c r="A6" s="5" t="n"/>
      <c r="B6" s="5" t="n"/>
      <c r="C6" s="10" t="n"/>
      <c r="D6" s="5" t="n"/>
      <c r="E6" s="5" t="n"/>
      <c r="F6" s="5" t="n"/>
      <c r="G6" s="5" t="n"/>
      <c r="H6" s="10" t="n"/>
      <c r="I6" s="10" t="n"/>
      <c r="J6" s="5" t="n"/>
    </row>
    <row r="7" ht="36" customHeight="1">
      <c r="A7" s="5" t="n"/>
      <c r="B7" s="5" t="n"/>
      <c r="C7" s="10" t="n"/>
      <c r="D7" s="5" t="n"/>
      <c r="E7" s="5" t="n"/>
      <c r="F7" s="5" t="n"/>
      <c r="G7" s="5" t="n"/>
      <c r="H7" s="10" t="n"/>
      <c r="I7" s="10" t="n"/>
      <c r="J7" s="5" t="n"/>
    </row>
    <row r="8" ht="36" customHeight="1">
      <c r="A8" s="5" t="n"/>
      <c r="B8" s="5" t="n"/>
      <c r="C8" s="10" t="n"/>
      <c r="D8" s="5" t="n"/>
      <c r="E8" s="5" t="n"/>
      <c r="F8" s="5" t="n"/>
      <c r="G8" s="5" t="n"/>
      <c r="H8" s="10" t="n"/>
      <c r="I8" s="10" t="n"/>
      <c r="J8" s="5" t="n"/>
    </row>
    <row r="9" ht="36" customHeight="1">
      <c r="A9" s="5" t="n"/>
      <c r="B9" s="5" t="n"/>
      <c r="C9" s="10" t="n"/>
      <c r="D9" s="5" t="n"/>
      <c r="E9" s="5" t="n"/>
      <c r="F9" s="5" t="n"/>
      <c r="G9" s="5" t="n"/>
      <c r="H9" s="10" t="n"/>
      <c r="I9" s="10" t="n"/>
      <c r="J9" s="5" t="n"/>
    </row>
    <row r="10" ht="36" customHeight="1">
      <c r="A10" s="5" t="n"/>
      <c r="B10" s="5" t="n"/>
      <c r="C10" s="10" t="n"/>
      <c r="D10" s="5" t="n"/>
      <c r="E10" s="5" t="n"/>
      <c r="F10" s="5" t="n"/>
      <c r="G10" s="5" t="n"/>
      <c r="H10" s="10" t="n"/>
      <c r="I10" s="10" t="n"/>
      <c r="J10" s="5" t="n"/>
    </row>
    <row r="11" ht="36" customHeight="1">
      <c r="A11" s="5" t="n"/>
      <c r="B11" s="5" t="n"/>
      <c r="C11" s="10" t="n"/>
      <c r="D11" s="5" t="n"/>
      <c r="E11" s="5" t="n"/>
      <c r="F11" s="5" t="n"/>
      <c r="G11" s="5" t="n"/>
      <c r="H11" s="10" t="n"/>
      <c r="I11" s="10" t="n"/>
      <c r="J11" s="5" t="n"/>
    </row>
    <row r="12" ht="36" customHeight="1">
      <c r="A12" s="5" t="n"/>
      <c r="B12" s="5" t="n"/>
      <c r="C12" s="10" t="n"/>
      <c r="D12" s="5" t="n"/>
      <c r="E12" s="5" t="n"/>
      <c r="F12" s="5" t="n"/>
      <c r="G12" s="5" t="n"/>
      <c r="H12" s="10" t="n"/>
      <c r="I12" s="10" t="n"/>
      <c r="J12" s="5" t="n"/>
    </row>
    <row r="13" ht="36" customHeight="1">
      <c r="A13" s="5" t="n"/>
      <c r="B13" s="5" t="n"/>
      <c r="C13" s="10" t="n"/>
      <c r="D13" s="5" t="n"/>
      <c r="E13" s="5" t="n"/>
      <c r="F13" s="5" t="n"/>
      <c r="G13" s="5" t="n"/>
      <c r="H13" s="10" t="n"/>
      <c r="I13" s="10" t="n"/>
      <c r="J13" s="5" t="n"/>
    </row>
    <row r="14" ht="36" customHeight="1">
      <c r="A14" s="5" t="n"/>
      <c r="B14" s="5" t="n"/>
      <c r="C14" s="10" t="n"/>
      <c r="D14" s="5" t="n"/>
      <c r="E14" s="5" t="n"/>
      <c r="F14" s="5" t="n"/>
      <c r="G14" s="5" t="n"/>
      <c r="H14" s="10" t="n"/>
      <c r="I14" s="10" t="n"/>
      <c r="J14" s="5" t="n"/>
    </row>
    <row r="15" ht="36" customHeight="1">
      <c r="A15" s="5" t="n"/>
      <c r="B15" s="5" t="n"/>
      <c r="C15" s="10" t="n"/>
      <c r="D15" s="5" t="n"/>
      <c r="E15" s="5" t="n"/>
      <c r="F15" s="5" t="n"/>
      <c r="G15" s="5" t="n"/>
      <c r="H15" s="10" t="n"/>
      <c r="I15" s="10" t="n"/>
      <c r="J15" s="5" t="n"/>
    </row>
    <row r="16" ht="36" customHeight="1">
      <c r="A16" s="5" t="n"/>
      <c r="B16" s="5" t="n"/>
      <c r="C16" s="10" t="n"/>
      <c r="D16" s="5" t="n"/>
      <c r="E16" s="5" t="n"/>
      <c r="F16" s="5" t="n"/>
      <c r="G16" s="5" t="n"/>
      <c r="H16" s="10" t="n"/>
      <c r="I16" s="10" t="n"/>
      <c r="J16" s="5" t="n"/>
    </row>
    <row r="17" ht="36" customHeight="1">
      <c r="A17" s="5" t="n"/>
      <c r="B17" s="5" t="n"/>
      <c r="C17" s="10" t="n"/>
      <c r="D17" s="5" t="n"/>
      <c r="E17" s="5" t="n"/>
      <c r="F17" s="5" t="n"/>
      <c r="G17" s="5" t="n"/>
      <c r="H17" s="10" t="n"/>
      <c r="I17" s="10" t="n"/>
      <c r="J17" s="5" t="n"/>
    </row>
    <row r="18" ht="36" customHeight="1">
      <c r="A18" s="5" t="n"/>
      <c r="B18" s="5" t="n"/>
      <c r="C18" s="10" t="n"/>
      <c r="D18" s="5" t="n"/>
      <c r="E18" s="5" t="n"/>
      <c r="F18" s="5" t="n"/>
      <c r="G18" s="5" t="n"/>
      <c r="H18" s="10" t="n"/>
      <c r="I18" s="10" t="n"/>
      <c r="J18" s="5" t="n"/>
    </row>
    <row r="19" ht="36" customHeight="1">
      <c r="A19" s="5" t="n"/>
      <c r="B19" s="5" t="n"/>
      <c r="C19" s="10" t="n"/>
      <c r="D19" s="5" t="n"/>
      <c r="E19" s="5" t="n"/>
      <c r="F19" s="5" t="n"/>
      <c r="G19" s="5" t="n"/>
      <c r="H19" s="10" t="n"/>
      <c r="I19" s="10" t="n"/>
      <c r="J19" s="5" t="n"/>
    </row>
    <row r="20" ht="36" customHeight="1">
      <c r="A20" s="5" t="n"/>
      <c r="B20" s="5" t="n"/>
      <c r="C20" s="10" t="n"/>
      <c r="D20" s="5" t="n"/>
      <c r="E20" s="5" t="n"/>
      <c r="F20" s="5" t="n"/>
      <c r="G20" s="5" t="n"/>
      <c r="H20" s="10" t="n"/>
      <c r="I20" s="10" t="n"/>
      <c r="J20" s="5" t="n"/>
    </row>
    <row r="21" ht="36" customHeight="1">
      <c r="A21" s="5" t="n"/>
      <c r="B21" s="5" t="n"/>
      <c r="C21" s="10" t="n"/>
      <c r="D21" s="5" t="n"/>
      <c r="E21" s="5" t="n"/>
      <c r="F21" s="5" t="n"/>
      <c r="G21" s="5" t="n"/>
      <c r="H21" s="10" t="n"/>
      <c r="I21" s="10" t="n"/>
      <c r="J21" s="5" t="n"/>
    </row>
    <row r="22" ht="36" customHeight="1">
      <c r="A22" s="5" t="n"/>
      <c r="B22" s="5" t="n"/>
      <c r="C22" s="10" t="n"/>
      <c r="D22" s="5" t="n"/>
      <c r="E22" s="5" t="n"/>
      <c r="F22" s="5" t="n"/>
      <c r="G22" s="5" t="n"/>
      <c r="H22" s="10" t="n"/>
      <c r="I22" s="10" t="n"/>
      <c r="J22" s="5" t="n"/>
    </row>
    <row r="23" ht="36" customHeight="1">
      <c r="A23" s="5" t="n"/>
      <c r="B23" s="5" t="n"/>
      <c r="C23" s="10" t="n"/>
      <c r="D23" s="5" t="n"/>
      <c r="E23" s="5" t="n"/>
      <c r="F23" s="5" t="n"/>
      <c r="G23" s="5" t="n"/>
      <c r="H23" s="10" t="n"/>
      <c r="I23" s="10" t="n"/>
      <c r="J23" s="5" t="n"/>
    </row>
    <row r="24" ht="36" customHeight="1">
      <c r="A24" s="5" t="n"/>
      <c r="B24" s="5" t="n"/>
      <c r="C24" s="10" t="n"/>
      <c r="D24" s="5" t="n"/>
      <c r="E24" s="5" t="n"/>
      <c r="F24" s="5" t="n"/>
      <c r="G24" s="5" t="n"/>
      <c r="H24" s="10" t="n"/>
      <c r="I24" s="10" t="n"/>
      <c r="J24" s="5" t="n"/>
    </row>
    <row r="25" ht="36" customHeight="1">
      <c r="A25" s="5" t="n"/>
      <c r="B25" s="5" t="n"/>
      <c r="C25" s="10" t="n"/>
      <c r="D25" s="5" t="n"/>
      <c r="E25" s="5" t="n"/>
      <c r="F25" s="5" t="n"/>
      <c r="G25" s="5" t="n"/>
      <c r="H25" s="10" t="n"/>
      <c r="I25" s="10" t="n"/>
      <c r="J25" s="5" t="n"/>
    </row>
    <row r="26" ht="36" customHeight="1">
      <c r="A26" s="5" t="n"/>
      <c r="B26" s="5" t="n"/>
      <c r="C26" s="10" t="n"/>
      <c r="D26" s="5" t="n"/>
      <c r="E26" s="5" t="n"/>
      <c r="F26" s="5" t="n"/>
      <c r="G26" s="5" t="n"/>
      <c r="H26" s="10" t="n"/>
      <c r="I26" s="10" t="n"/>
      <c r="J26" s="5" t="n"/>
    </row>
    <row r="27" ht="36" customHeight="1">
      <c r="A27" s="5" t="n"/>
      <c r="B27" s="5" t="n"/>
      <c r="C27" s="10" t="n"/>
      <c r="D27" s="5" t="n"/>
      <c r="E27" s="5" t="n"/>
      <c r="F27" s="5" t="n"/>
      <c r="G27" s="5" t="n"/>
      <c r="H27" s="10" t="n"/>
      <c r="I27" s="10" t="n"/>
      <c r="J27" s="5" t="n"/>
    </row>
    <row r="28" ht="36" customHeight="1">
      <c r="A28" s="5" t="n"/>
      <c r="B28" s="5" t="n"/>
      <c r="C28" s="10" t="n"/>
      <c r="D28" s="5" t="n"/>
      <c r="E28" s="5" t="n"/>
      <c r="F28" s="5" t="n"/>
      <c r="G28" s="5" t="n"/>
      <c r="H28" s="10" t="n"/>
      <c r="I28" s="10" t="n"/>
      <c r="J28" s="5" t="n"/>
    </row>
    <row r="29" ht="36" customHeight="1">
      <c r="A29" s="5" t="n"/>
      <c r="B29" s="5" t="n"/>
      <c r="C29" s="10" t="n"/>
      <c r="D29" s="5" t="n"/>
      <c r="E29" s="5" t="n"/>
      <c r="F29" s="5" t="n"/>
      <c r="G29" s="5" t="n"/>
      <c r="H29" s="10" t="n"/>
      <c r="I29" s="10" t="n"/>
      <c r="J29" s="5" t="n"/>
    </row>
    <row r="30" ht="36" customHeight="1">
      <c r="A30" s="5" t="n"/>
      <c r="B30" s="5" t="n"/>
      <c r="C30" s="10" t="n"/>
      <c r="D30" s="5" t="n"/>
      <c r="E30" s="5" t="n"/>
      <c r="F30" s="5" t="n"/>
      <c r="G30" s="5" t="n"/>
      <c r="H30" s="10" t="n"/>
      <c r="I30" s="10" t="n"/>
      <c r="J30" s="5" t="n"/>
    </row>
    <row r="31" ht="36" customHeight="1">
      <c r="A31" s="5" t="n"/>
      <c r="B31" s="5" t="n"/>
      <c r="C31" s="10" t="n"/>
      <c r="D31" s="5" t="n"/>
      <c r="E31" s="5" t="n"/>
      <c r="F31" s="5" t="n"/>
      <c r="G31" s="5" t="n"/>
      <c r="H31" s="10" t="n"/>
      <c r="I31" s="10" t="n"/>
      <c r="J31" s="5" t="n"/>
    </row>
    <row r="32" ht="36" customHeight="1">
      <c r="A32" s="5" t="n"/>
      <c r="B32" s="5" t="n"/>
      <c r="C32" s="10" t="n"/>
      <c r="D32" s="5" t="n"/>
      <c r="E32" s="5" t="n"/>
      <c r="F32" s="5" t="n"/>
      <c r="G32" s="5" t="n"/>
      <c r="H32" s="10" t="n"/>
      <c r="I32" s="10" t="n"/>
      <c r="J32" s="5" t="n"/>
    </row>
    <row r="33" ht="36" customHeight="1">
      <c r="A33" s="5" t="n"/>
      <c r="B33" s="5" t="n"/>
      <c r="C33" s="10" t="n"/>
      <c r="D33" s="5" t="n"/>
      <c r="E33" s="5" t="n"/>
      <c r="F33" s="5" t="n"/>
      <c r="G33" s="5" t="n"/>
      <c r="H33" s="10" t="n"/>
      <c r="I33" s="10" t="n"/>
      <c r="J33" s="5" t="n"/>
    </row>
    <row r="34" ht="36" customHeight="1">
      <c r="A34" s="5" t="n"/>
      <c r="B34" s="5" t="n"/>
      <c r="C34" s="10" t="n"/>
      <c r="D34" s="5" t="n"/>
      <c r="E34" s="5" t="n"/>
      <c r="F34" s="5" t="n"/>
      <c r="G34" s="5" t="n"/>
      <c r="H34" s="10" t="n"/>
      <c r="I34" s="10" t="n"/>
      <c r="J34" s="5" t="n"/>
    </row>
    <row r="35" ht="36" customHeight="1">
      <c r="A35" s="5" t="n"/>
      <c r="B35" s="5" t="n"/>
      <c r="C35" s="10" t="n"/>
      <c r="D35" s="5" t="n"/>
      <c r="E35" s="5" t="n"/>
      <c r="F35" s="5" t="n"/>
      <c r="G35" s="5" t="n"/>
      <c r="H35" s="10" t="n"/>
      <c r="I35" s="10" t="n"/>
      <c r="J35" s="5" t="n"/>
    </row>
    <row r="36" ht="36" customHeight="1">
      <c r="A36" s="5" t="n"/>
      <c r="B36" s="5" t="n"/>
      <c r="C36" s="10" t="n"/>
      <c r="D36" s="5" t="n"/>
      <c r="E36" s="5" t="n"/>
      <c r="F36" s="5" t="n"/>
      <c r="G36" s="5" t="n"/>
      <c r="H36" s="10" t="n"/>
      <c r="I36" s="10" t="n"/>
      <c r="J36" s="5" t="n"/>
    </row>
    <row r="37" ht="36" customHeight="1">
      <c r="A37" s="5" t="n"/>
      <c r="B37" s="5" t="n"/>
      <c r="C37" s="10" t="n"/>
      <c r="D37" s="5" t="n"/>
      <c r="E37" s="5" t="n"/>
      <c r="F37" s="5" t="n"/>
      <c r="G37" s="5" t="n"/>
      <c r="H37" s="10" t="n"/>
      <c r="I37" s="10" t="n"/>
      <c r="J37" s="5" t="n"/>
    </row>
    <row r="38" ht="36" customHeight="1">
      <c r="A38" s="5" t="n"/>
      <c r="B38" s="5" t="n"/>
      <c r="C38" s="10" t="n"/>
      <c r="D38" s="5" t="n"/>
      <c r="E38" s="5" t="n"/>
      <c r="F38" s="5" t="n"/>
      <c r="G38" s="5" t="n"/>
      <c r="H38" s="10" t="n"/>
      <c r="I38" s="10" t="n"/>
      <c r="J38" s="5" t="n"/>
    </row>
    <row r="39" ht="36" customHeight="1">
      <c r="A39" s="5" t="n"/>
      <c r="B39" s="5" t="n"/>
      <c r="C39" s="10" t="n"/>
      <c r="D39" s="5" t="n"/>
      <c r="E39" s="5" t="n"/>
      <c r="F39" s="5" t="n"/>
      <c r="G39" s="5" t="n"/>
      <c r="H39" s="10" t="n"/>
      <c r="I39" s="10" t="n"/>
      <c r="J39" s="5" t="n"/>
    </row>
    <row r="40" ht="36" customHeight="1">
      <c r="A40" s="5" t="n"/>
      <c r="B40" s="5" t="n"/>
      <c r="C40" s="10" t="n"/>
      <c r="D40" s="5" t="n"/>
      <c r="E40" s="5" t="n"/>
      <c r="F40" s="5" t="n"/>
      <c r="G40" s="5" t="n"/>
      <c r="H40" s="10" t="n"/>
      <c r="I40" s="10" t="n"/>
      <c r="J40" s="5" t="n"/>
    </row>
    <row r="41" ht="36" customHeight="1">
      <c r="A41" s="5" t="n"/>
      <c r="B41" s="5" t="n"/>
      <c r="C41" s="10" t="n"/>
      <c r="D41" s="5" t="n"/>
      <c r="E41" s="5" t="n"/>
      <c r="F41" s="5" t="n"/>
      <c r="G41" s="5" t="n"/>
      <c r="H41" s="10" t="n"/>
      <c r="I41" s="10" t="n"/>
      <c r="J41" s="5" t="n"/>
    </row>
    <row r="42" ht="36" customHeight="1">
      <c r="A42" s="5" t="n"/>
      <c r="B42" s="5" t="n"/>
      <c r="C42" s="10" t="n"/>
      <c r="D42" s="5" t="n"/>
      <c r="E42" s="5" t="n"/>
      <c r="F42" s="5" t="n"/>
      <c r="G42" s="5" t="n"/>
      <c r="H42" s="10" t="n"/>
      <c r="I42" s="10" t="n"/>
      <c r="J42" s="5" t="n"/>
    </row>
    <row r="43" ht="36" customHeight="1">
      <c r="A43" s="5" t="n"/>
      <c r="B43" s="5" t="n"/>
      <c r="C43" s="10" t="n"/>
      <c r="D43" s="5" t="n"/>
      <c r="E43" s="5" t="n"/>
      <c r="F43" s="5" t="n"/>
      <c r="G43" s="5" t="n"/>
      <c r="H43" s="10" t="n"/>
      <c r="I43" s="10" t="n"/>
      <c r="J43" s="5" t="n"/>
    </row>
    <row r="44" ht="36" customHeight="1">
      <c r="A44" s="5" t="n"/>
      <c r="B44" s="5" t="n"/>
      <c r="C44" s="10" t="n"/>
      <c r="D44" s="5" t="n"/>
      <c r="E44" s="5" t="n"/>
      <c r="F44" s="5" t="n"/>
      <c r="G44" s="5" t="n"/>
      <c r="H44" s="10" t="n"/>
      <c r="I44" s="10" t="n"/>
      <c r="J44" s="5" t="n"/>
    </row>
    <row r="45" ht="36" customHeight="1">
      <c r="A45" s="5" t="n"/>
      <c r="B45" s="5" t="n"/>
      <c r="C45" s="10" t="n"/>
      <c r="D45" s="5" t="n"/>
      <c r="E45" s="5" t="n"/>
      <c r="F45" s="5" t="n"/>
      <c r="G45" s="5" t="n"/>
      <c r="H45" s="10" t="n"/>
      <c r="I45" s="10" t="n"/>
      <c r="J45" s="5" t="n"/>
    </row>
    <row r="46" ht="36" customHeight="1">
      <c r="A46" s="5" t="n"/>
      <c r="B46" s="5" t="n"/>
      <c r="C46" s="10" t="n"/>
      <c r="D46" s="5" t="n"/>
      <c r="E46" s="5" t="n"/>
      <c r="F46" s="5" t="n"/>
      <c r="G46" s="5" t="n"/>
      <c r="H46" s="10" t="n"/>
      <c r="I46" s="10" t="n"/>
      <c r="J46" s="5" t="n"/>
    </row>
    <row r="47" ht="36" customHeight="1">
      <c r="A47" s="5" t="n"/>
      <c r="B47" s="5" t="n"/>
      <c r="C47" s="10" t="n"/>
      <c r="D47" s="5" t="n"/>
      <c r="E47" s="5" t="n"/>
      <c r="F47" s="5" t="n"/>
      <c r="G47" s="5" t="n"/>
      <c r="H47" s="10" t="n"/>
      <c r="I47" s="10" t="n"/>
      <c r="J47" s="5" t="n"/>
    </row>
    <row r="48" ht="36" customHeight="1">
      <c r="A48" s="5" t="n"/>
      <c r="B48" s="5" t="n"/>
      <c r="C48" s="10" t="n"/>
      <c r="D48" s="5" t="n"/>
      <c r="E48" s="5" t="n"/>
      <c r="F48" s="5" t="n"/>
      <c r="G48" s="5" t="n"/>
      <c r="H48" s="10" t="n"/>
      <c r="I48" s="10" t="n"/>
      <c r="J48" s="5" t="n"/>
    </row>
    <row r="49" ht="36" customHeight="1">
      <c r="A49" s="5" t="n"/>
      <c r="B49" s="5" t="n"/>
      <c r="C49" s="10" t="n"/>
      <c r="D49" s="5" t="n"/>
      <c r="E49" s="5" t="n"/>
      <c r="F49" s="5" t="n"/>
      <c r="G49" s="5" t="n"/>
      <c r="H49" s="10" t="n"/>
      <c r="I49" s="10" t="n"/>
      <c r="J49" s="5" t="n"/>
    </row>
    <row r="50" ht="36" customHeight="1">
      <c r="A50" s="5" t="n"/>
      <c r="B50" s="5" t="n"/>
      <c r="C50" s="10" t="n"/>
      <c r="D50" s="5" t="n"/>
      <c r="E50" s="5" t="n"/>
      <c r="F50" s="5" t="n"/>
      <c r="G50" s="5" t="n"/>
      <c r="H50" s="10" t="n"/>
      <c r="I50" s="10" t="n"/>
      <c r="J50" s="5" t="n"/>
    </row>
    <row r="51" ht="36" customHeight="1">
      <c r="A51" s="5" t="n"/>
      <c r="B51" s="5" t="n"/>
      <c r="C51" s="10" t="n"/>
      <c r="D51" s="5" t="n"/>
      <c r="E51" s="5" t="n"/>
      <c r="F51" s="5" t="n"/>
      <c r="G51" s="5" t="n"/>
      <c r="H51" s="10" t="n"/>
      <c r="I51" s="10" t="n"/>
      <c r="J51" s="5" t="n"/>
    </row>
    <row r="52" ht="36" customHeight="1">
      <c r="A52" s="5" t="n"/>
      <c r="B52" s="5" t="n"/>
      <c r="C52" s="10" t="n"/>
      <c r="D52" s="5" t="n"/>
      <c r="E52" s="5" t="n"/>
      <c r="F52" s="5" t="n"/>
      <c r="G52" s="5" t="n"/>
      <c r="H52" s="10" t="n"/>
      <c r="I52" s="10" t="n"/>
      <c r="J52" s="5" t="n"/>
    </row>
    <row r="53" ht="36" customHeight="1">
      <c r="A53" s="5" t="n"/>
      <c r="B53" s="5" t="n"/>
      <c r="C53" s="10" t="n"/>
      <c r="D53" s="5" t="n"/>
      <c r="E53" s="5" t="n"/>
      <c r="F53" s="5" t="n"/>
      <c r="G53" s="5" t="n"/>
      <c r="H53" s="10" t="n"/>
      <c r="I53" s="10" t="n"/>
      <c r="J53" s="5" t="n"/>
    </row>
    <row r="54" ht="36" customHeight="1">
      <c r="A54" s="5" t="n"/>
      <c r="B54" s="5" t="n"/>
      <c r="C54" s="10" t="n"/>
      <c r="D54" s="5" t="n"/>
      <c r="E54" s="5" t="n"/>
      <c r="F54" s="5" t="n"/>
      <c r="G54" s="5" t="n"/>
      <c r="H54" s="10" t="n"/>
      <c r="I54" s="10" t="n"/>
      <c r="J54" s="5" t="n"/>
    </row>
    <row r="55" ht="36" customHeight="1">
      <c r="A55" s="5" t="n"/>
      <c r="B55" s="5" t="n"/>
      <c r="C55" s="10" t="n"/>
      <c r="D55" s="5" t="n"/>
      <c r="E55" s="5" t="n"/>
      <c r="F55" s="5" t="n"/>
      <c r="G55" s="5" t="n"/>
      <c r="H55" s="10" t="n"/>
      <c r="I55" s="10" t="n"/>
      <c r="J55" s="5" t="n"/>
    </row>
    <row r="56" ht="36" customHeight="1">
      <c r="A56" s="5" t="n"/>
      <c r="B56" s="5" t="n"/>
      <c r="C56" s="10" t="n"/>
      <c r="D56" s="5" t="n"/>
      <c r="E56" s="5" t="n"/>
      <c r="F56" s="5" t="n"/>
      <c r="G56" s="5" t="n"/>
      <c r="H56" s="10" t="n"/>
      <c r="I56" s="10" t="n"/>
      <c r="J56" s="5" t="n"/>
    </row>
    <row r="57" ht="36" customHeight="1">
      <c r="A57" s="5" t="n"/>
      <c r="B57" s="5" t="n"/>
      <c r="C57" s="10" t="n"/>
      <c r="D57" s="5" t="n"/>
      <c r="E57" s="5" t="n"/>
      <c r="F57" s="5" t="n"/>
      <c r="G57" s="5" t="n"/>
      <c r="H57" s="10" t="n"/>
      <c r="I57" s="10" t="n"/>
      <c r="J57" s="5" t="n"/>
    </row>
    <row r="58" ht="36" customHeight="1">
      <c r="A58" s="5" t="n"/>
      <c r="B58" s="5" t="n"/>
      <c r="C58" s="10" t="n"/>
      <c r="D58" s="5" t="n"/>
      <c r="E58" s="5" t="n"/>
      <c r="F58" s="5" t="n"/>
      <c r="G58" s="5" t="n"/>
      <c r="H58" s="10" t="n"/>
      <c r="I58" s="10" t="n"/>
      <c r="J58" s="5" t="n"/>
    </row>
    <row r="59" ht="36" customHeight="1">
      <c r="A59" s="5" t="n"/>
      <c r="B59" s="5" t="n"/>
      <c r="C59" s="10" t="n"/>
      <c r="D59" s="5" t="n"/>
      <c r="E59" s="5" t="n"/>
      <c r="F59" s="5" t="n"/>
      <c r="G59" s="5" t="n"/>
      <c r="H59" s="10" t="n"/>
      <c r="I59" s="10" t="n"/>
      <c r="J59" s="5" t="n"/>
    </row>
    <row r="60" ht="36" customHeight="1">
      <c r="A60" s="5" t="n"/>
      <c r="B60" s="5" t="n"/>
      <c r="C60" s="10" t="n"/>
      <c r="D60" s="5" t="n"/>
      <c r="E60" s="5" t="n"/>
      <c r="F60" s="5" t="n"/>
      <c r="G60" s="5" t="n"/>
      <c r="H60" s="10" t="n"/>
      <c r="I60" s="10" t="n"/>
      <c r="J60" s="5" t="n"/>
    </row>
    <row r="61" ht="36" customHeight="1">
      <c r="A61" s="5" t="n"/>
      <c r="B61" s="5" t="n"/>
      <c r="C61" s="10" t="n"/>
      <c r="D61" s="5" t="n"/>
      <c r="E61" s="5" t="n"/>
      <c r="F61" s="5" t="n"/>
      <c r="G61" s="5" t="n"/>
      <c r="H61" s="10" t="n"/>
      <c r="I61" s="10" t="n"/>
      <c r="J61" s="5" t="n"/>
    </row>
    <row r="62" ht="36" customHeight="1">
      <c r="A62" s="5" t="n"/>
      <c r="B62" s="5" t="n"/>
      <c r="C62" s="10" t="n"/>
      <c r="D62" s="5" t="n"/>
      <c r="E62" s="5" t="n"/>
      <c r="F62" s="5" t="n"/>
      <c r="G62" s="5" t="n"/>
      <c r="H62" s="10" t="n"/>
      <c r="I62" s="10" t="n"/>
      <c r="J62" s="5" t="n"/>
    </row>
    <row r="63" ht="36" customHeight="1">
      <c r="A63" s="5" t="n"/>
      <c r="B63" s="5" t="n"/>
      <c r="C63" s="10" t="n"/>
      <c r="D63" s="5" t="n"/>
      <c r="E63" s="5" t="n"/>
      <c r="F63" s="5" t="n"/>
      <c r="G63" s="5" t="n"/>
      <c r="H63" s="10" t="n"/>
      <c r="I63" s="10" t="n"/>
      <c r="J63" s="5" t="n"/>
    </row>
    <row r="64" ht="36" customHeight="1">
      <c r="A64" s="5" t="n"/>
      <c r="B64" s="5" t="n"/>
      <c r="C64" s="10" t="n"/>
      <c r="D64" s="5" t="n"/>
      <c r="E64" s="5" t="n"/>
      <c r="F64" s="5" t="n"/>
      <c r="G64" s="5" t="n"/>
      <c r="H64" s="10" t="n"/>
      <c r="I64" s="10" t="n"/>
      <c r="J64" s="5" t="n"/>
    </row>
    <row r="65" ht="36" customHeight="1">
      <c r="A65" s="5" t="n"/>
      <c r="B65" s="5" t="n"/>
      <c r="C65" s="10" t="n"/>
      <c r="D65" s="5" t="n"/>
      <c r="E65" s="5" t="n"/>
      <c r="F65" s="5" t="n"/>
      <c r="G65" s="5" t="n"/>
      <c r="H65" s="10" t="n"/>
      <c r="I65" s="10" t="n"/>
      <c r="J65" s="5" t="n"/>
    </row>
    <row r="66" ht="36" customHeight="1">
      <c r="A66" s="5" t="n"/>
      <c r="B66" s="5" t="n"/>
      <c r="C66" s="10" t="n"/>
      <c r="D66" s="5" t="n"/>
      <c r="E66" s="5" t="n"/>
      <c r="F66" s="5" t="n"/>
      <c r="G66" s="5" t="n"/>
      <c r="H66" s="10" t="n"/>
      <c r="I66" s="10" t="n"/>
      <c r="J66" s="5" t="n"/>
    </row>
    <row r="67" ht="36" customHeight="1">
      <c r="A67" s="5" t="n"/>
      <c r="B67" s="5" t="n"/>
      <c r="C67" s="10" t="n"/>
      <c r="D67" s="5" t="n"/>
      <c r="E67" s="5" t="n"/>
      <c r="F67" s="5" t="n"/>
      <c r="G67" s="5" t="n"/>
      <c r="H67" s="10" t="n"/>
      <c r="I67" s="10" t="n"/>
      <c r="J67" s="5" t="n"/>
    </row>
    <row r="68" ht="36" customHeight="1">
      <c r="A68" s="5" t="n"/>
      <c r="B68" s="5" t="n"/>
      <c r="C68" s="10" t="n"/>
      <c r="D68" s="5" t="n"/>
      <c r="E68" s="5" t="n"/>
      <c r="F68" s="5" t="n"/>
      <c r="G68" s="5" t="n"/>
      <c r="H68" s="10" t="n"/>
      <c r="I68" s="10" t="n"/>
      <c r="J68" s="5" t="n"/>
    </row>
    <row r="69" ht="36" customHeight="1">
      <c r="A69" s="5" t="n"/>
      <c r="B69" s="5" t="n"/>
      <c r="C69" s="10" t="n"/>
      <c r="D69" s="5" t="n"/>
      <c r="E69" s="5" t="n"/>
      <c r="F69" s="5" t="n"/>
      <c r="G69" s="5" t="n"/>
      <c r="H69" s="10" t="n"/>
      <c r="I69" s="10" t="n"/>
      <c r="J69" s="5" t="n"/>
    </row>
    <row r="70" ht="36" customHeight="1">
      <c r="A70" s="5" t="n"/>
      <c r="B70" s="5" t="n"/>
      <c r="C70" s="10" t="n"/>
      <c r="D70" s="5" t="n"/>
      <c r="E70" s="5" t="n"/>
      <c r="F70" s="5" t="n"/>
      <c r="G70" s="5" t="n"/>
      <c r="H70" s="10" t="n"/>
      <c r="I70" s="10" t="n"/>
      <c r="J70" s="5" t="n"/>
    </row>
    <row r="71" ht="36" customHeight="1">
      <c r="A71" s="5" t="n"/>
      <c r="B71" s="5" t="n"/>
      <c r="C71" s="10" t="n"/>
      <c r="D71" s="5" t="n"/>
      <c r="E71" s="5" t="n"/>
      <c r="F71" s="5" t="n"/>
      <c r="G71" s="5" t="n"/>
      <c r="H71" s="10" t="n"/>
      <c r="I71" s="10" t="n"/>
      <c r="J71" s="5" t="n"/>
    </row>
    <row r="72" ht="36" customHeight="1">
      <c r="A72" s="5" t="n"/>
      <c r="B72" s="5" t="n"/>
      <c r="C72" s="10" t="n"/>
      <c r="D72" s="5" t="n"/>
      <c r="E72" s="5" t="n"/>
      <c r="F72" s="5" t="n"/>
      <c r="G72" s="5" t="n"/>
      <c r="H72" s="10" t="n"/>
      <c r="I72" s="10" t="n"/>
      <c r="J72" s="5" t="n"/>
    </row>
    <row r="73" ht="36" customHeight="1">
      <c r="A73" s="5" t="n"/>
      <c r="B73" s="5" t="n"/>
      <c r="C73" s="10" t="n"/>
      <c r="D73" s="5" t="n"/>
      <c r="E73" s="5" t="n"/>
      <c r="F73" s="5" t="n"/>
      <c r="G73" s="5" t="n"/>
      <c r="H73" s="10" t="n"/>
      <c r="I73" s="10" t="n"/>
      <c r="J73" s="5" t="n"/>
    </row>
    <row r="74" ht="36" customHeight="1">
      <c r="A74" s="5" t="n"/>
      <c r="B74" s="5" t="n"/>
      <c r="C74" s="10" t="n"/>
      <c r="D74" s="5" t="n"/>
      <c r="E74" s="5" t="n"/>
      <c r="F74" s="5" t="n"/>
      <c r="G74" s="5" t="n"/>
      <c r="H74" s="10" t="n"/>
      <c r="I74" s="10" t="n"/>
      <c r="J74" s="5" t="n"/>
    </row>
    <row r="75" ht="36" customHeight="1">
      <c r="A75" s="5" t="n"/>
      <c r="B75" s="5" t="n"/>
      <c r="C75" s="10" t="n"/>
      <c r="D75" s="5" t="n"/>
      <c r="E75" s="5" t="n"/>
      <c r="F75" s="5" t="n"/>
      <c r="G75" s="5" t="n"/>
      <c r="H75" s="10" t="n"/>
      <c r="I75" s="10" t="n"/>
      <c r="J75" s="5" t="n"/>
    </row>
    <row r="76" ht="36" customHeight="1">
      <c r="A76" s="5" t="n"/>
      <c r="B76" s="5" t="n"/>
      <c r="C76" s="10" t="n"/>
      <c r="D76" s="5" t="n"/>
      <c r="E76" s="5" t="n"/>
      <c r="F76" s="5" t="n"/>
      <c r="G76" s="5" t="n"/>
      <c r="H76" s="10" t="n"/>
      <c r="I76" s="10" t="n"/>
      <c r="J76" s="5" t="n"/>
    </row>
    <row r="77" ht="36" customHeight="1">
      <c r="A77" s="5" t="n"/>
      <c r="B77" s="5" t="n"/>
      <c r="C77" s="10" t="n"/>
      <c r="D77" s="5" t="n"/>
      <c r="E77" s="5" t="n"/>
      <c r="F77" s="5" t="n"/>
      <c r="G77" s="5" t="n"/>
      <c r="H77" s="10" t="n"/>
      <c r="I77" s="10" t="n"/>
      <c r="J77" s="5" t="n"/>
    </row>
    <row r="78" ht="36" customHeight="1">
      <c r="A78" s="5" t="n"/>
      <c r="B78" s="5" t="n"/>
      <c r="C78" s="10" t="n"/>
      <c r="D78" s="5" t="n"/>
      <c r="E78" s="5" t="n"/>
      <c r="F78" s="5" t="n"/>
      <c r="G78" s="5" t="n"/>
      <c r="H78" s="10" t="n"/>
      <c r="I78" s="10" t="n"/>
      <c r="J78" s="5" t="n"/>
    </row>
    <row r="79" ht="36" customHeight="1">
      <c r="A79" s="5" t="n"/>
      <c r="B79" s="5" t="n"/>
      <c r="C79" s="10" t="n"/>
      <c r="D79" s="5" t="n"/>
      <c r="E79" s="5" t="n"/>
      <c r="F79" s="5" t="n"/>
      <c r="G79" s="5" t="n"/>
      <c r="H79" s="10" t="n"/>
      <c r="I79" s="10" t="n"/>
      <c r="J79" s="5" t="n"/>
    </row>
    <row r="80" ht="36" customHeight="1">
      <c r="A80" s="5" t="n"/>
      <c r="B80" s="5" t="n"/>
      <c r="C80" s="10" t="n"/>
      <c r="D80" s="5" t="n"/>
      <c r="E80" s="5" t="n"/>
      <c r="F80" s="5" t="n"/>
      <c r="G80" s="5" t="n"/>
      <c r="H80" s="10" t="n"/>
      <c r="I80" s="10" t="n"/>
      <c r="J80" s="5" t="n"/>
    </row>
    <row r="81" ht="36" customHeight="1">
      <c r="A81" s="5" t="n"/>
      <c r="B81" s="5" t="n"/>
      <c r="C81" s="10" t="n"/>
      <c r="D81" s="5" t="n"/>
      <c r="E81" s="5" t="n"/>
      <c r="F81" s="5" t="n"/>
      <c r="G81" s="5" t="n"/>
      <c r="H81" s="10" t="n"/>
      <c r="I81" s="10" t="n"/>
      <c r="J81" s="5" t="n"/>
    </row>
    <row r="82" ht="36" customHeight="1">
      <c r="A82" s="5" t="n"/>
      <c r="B82" s="5" t="n"/>
      <c r="C82" s="10" t="n"/>
      <c r="D82" s="5" t="n"/>
      <c r="E82" s="5" t="n"/>
      <c r="F82" s="5" t="n"/>
      <c r="G82" s="5" t="n"/>
      <c r="H82" s="10" t="n"/>
      <c r="I82" s="10" t="n"/>
      <c r="J82" s="5" t="n"/>
    </row>
    <row r="83" ht="36" customHeight="1">
      <c r="A83" s="5" t="n"/>
      <c r="B83" s="5" t="n"/>
      <c r="C83" s="10" t="n"/>
      <c r="D83" s="5" t="n"/>
      <c r="E83" s="5" t="n"/>
      <c r="F83" s="5" t="n"/>
      <c r="G83" s="5" t="n"/>
      <c r="H83" s="10" t="n"/>
      <c r="I83" s="10" t="n"/>
      <c r="J83" s="5" t="n"/>
    </row>
    <row r="84" ht="36" customHeight="1">
      <c r="A84" s="5" t="n"/>
      <c r="B84" s="5" t="n"/>
      <c r="C84" s="10" t="n"/>
      <c r="D84" s="5" t="n"/>
      <c r="E84" s="5" t="n"/>
      <c r="F84" s="5" t="n"/>
      <c r="G84" s="5" t="n"/>
      <c r="H84" s="10" t="n"/>
      <c r="I84" s="10" t="n"/>
      <c r="J84" s="5" t="n"/>
    </row>
    <row r="85" ht="36" customHeight="1">
      <c r="A85" s="5" t="n"/>
      <c r="B85" s="5" t="n"/>
      <c r="C85" s="10" t="n"/>
      <c r="D85" s="5" t="n"/>
      <c r="E85" s="5" t="n"/>
      <c r="F85" s="5" t="n"/>
      <c r="G85" s="5" t="n"/>
      <c r="H85" s="10" t="n"/>
      <c r="I85" s="10" t="n"/>
      <c r="J85" s="5" t="n"/>
    </row>
    <row r="86" ht="36" customHeight="1">
      <c r="A86" s="5" t="n"/>
      <c r="B86" s="5" t="n"/>
      <c r="C86" s="10" t="n"/>
      <c r="D86" s="5" t="n"/>
      <c r="E86" s="5" t="n"/>
      <c r="F86" s="5" t="n"/>
      <c r="G86" s="5" t="n"/>
      <c r="H86" s="10" t="n"/>
      <c r="I86" s="10" t="n"/>
      <c r="J86" s="5" t="n"/>
    </row>
    <row r="87" ht="36" customHeight="1">
      <c r="A87" s="5" t="n"/>
      <c r="B87" s="5" t="n"/>
      <c r="C87" s="10" t="n"/>
      <c r="D87" s="5" t="n"/>
      <c r="E87" s="5" t="n"/>
      <c r="F87" s="5" t="n"/>
      <c r="G87" s="5" t="n"/>
      <c r="H87" s="10" t="n"/>
      <c r="I87" s="10" t="n"/>
      <c r="J87" s="5" t="n"/>
    </row>
    <row r="88" ht="36" customHeight="1">
      <c r="A88" s="5" t="n"/>
      <c r="B88" s="5" t="n"/>
      <c r="C88" s="10" t="n"/>
      <c r="D88" s="5" t="n"/>
      <c r="E88" s="5" t="n"/>
      <c r="F88" s="5" t="n"/>
      <c r="G88" s="5" t="n"/>
      <c r="H88" s="10" t="n"/>
      <c r="I88" s="10" t="n"/>
      <c r="J88" s="5" t="n"/>
    </row>
    <row r="89" ht="36" customHeight="1">
      <c r="A89" s="5" t="n"/>
      <c r="B89" s="5" t="n"/>
      <c r="C89" s="10" t="n"/>
      <c r="D89" s="5" t="n"/>
      <c r="E89" s="5" t="n"/>
      <c r="F89" s="5" t="n"/>
      <c r="G89" s="5" t="n"/>
      <c r="H89" s="10" t="n"/>
      <c r="I89" s="10" t="n"/>
      <c r="J89" s="5" t="n"/>
    </row>
    <row r="90" ht="36" customHeight="1">
      <c r="A90" s="5" t="n"/>
      <c r="B90" s="5" t="n"/>
      <c r="C90" s="10" t="n"/>
      <c r="D90" s="5" t="n"/>
      <c r="E90" s="5" t="n"/>
      <c r="F90" s="5" t="n"/>
      <c r="G90" s="5" t="n"/>
      <c r="H90" s="10" t="n"/>
      <c r="I90" s="10" t="n"/>
      <c r="J90" s="5" t="n"/>
    </row>
    <row r="91" ht="36" customHeight="1">
      <c r="A91" s="5" t="n"/>
      <c r="B91" s="5" t="n"/>
      <c r="C91" s="10" t="n"/>
      <c r="D91" s="5" t="n"/>
      <c r="E91" s="5" t="n"/>
      <c r="F91" s="5" t="n"/>
      <c r="G91" s="5" t="n"/>
      <c r="H91" s="10" t="n"/>
      <c r="I91" s="10" t="n"/>
      <c r="J91" s="5" t="n"/>
    </row>
    <row r="92" ht="36" customHeight="1">
      <c r="A92" s="5" t="n"/>
      <c r="B92" s="5" t="n"/>
      <c r="C92" s="10" t="n"/>
      <c r="D92" s="5" t="n"/>
      <c r="E92" s="5" t="n"/>
      <c r="F92" s="5" t="n"/>
      <c r="G92" s="5" t="n"/>
      <c r="H92" s="10" t="n"/>
      <c r="I92" s="10" t="n"/>
      <c r="J92" s="5" t="n"/>
    </row>
    <row r="93" ht="36" customHeight="1">
      <c r="A93" s="5" t="n"/>
      <c r="B93" s="5" t="n"/>
      <c r="C93" s="10" t="n"/>
      <c r="D93" s="5" t="n"/>
      <c r="E93" s="5" t="n"/>
      <c r="F93" s="5" t="n"/>
      <c r="G93" s="5" t="n"/>
      <c r="H93" s="10" t="n"/>
      <c r="I93" s="10" t="n"/>
      <c r="J93" s="5" t="n"/>
    </row>
    <row r="94" ht="36" customHeight="1">
      <c r="A94" s="5" t="n"/>
      <c r="B94" s="5" t="n"/>
      <c r="C94" s="10" t="n"/>
      <c r="D94" s="5" t="n"/>
      <c r="E94" s="5" t="n"/>
      <c r="F94" s="5" t="n"/>
      <c r="G94" s="5" t="n"/>
      <c r="H94" s="10" t="n"/>
      <c r="I94" s="10" t="n"/>
      <c r="J94" s="5" t="n"/>
    </row>
    <row r="95" ht="36" customHeight="1">
      <c r="A95" s="5" t="n"/>
      <c r="B95" s="5" t="n"/>
      <c r="C95" s="10" t="n"/>
      <c r="D95" s="5" t="n"/>
      <c r="E95" s="5" t="n"/>
      <c r="F95" s="5" t="n"/>
      <c r="G95" s="5" t="n"/>
      <c r="H95" s="10" t="n"/>
      <c r="I95" s="10" t="n"/>
      <c r="J95" s="5" t="n"/>
    </row>
    <row r="96" ht="36" customHeight="1">
      <c r="A96" s="5" t="n"/>
      <c r="B96" s="5" t="n"/>
      <c r="C96" s="10" t="n"/>
      <c r="D96" s="5" t="n"/>
      <c r="E96" s="5" t="n"/>
      <c r="F96" s="5" t="n"/>
      <c r="G96" s="5" t="n"/>
      <c r="H96" s="10" t="n"/>
      <c r="I96" s="10" t="n"/>
      <c r="J96" s="5" t="n"/>
    </row>
    <row r="97" ht="36" customHeight="1">
      <c r="A97" s="5" t="n"/>
      <c r="B97" s="5" t="n"/>
      <c r="C97" s="10" t="n"/>
      <c r="D97" s="5" t="n"/>
      <c r="E97" s="5" t="n"/>
      <c r="F97" s="5" t="n"/>
      <c r="G97" s="5" t="n"/>
      <c r="H97" s="10" t="n"/>
      <c r="I97" s="10" t="n"/>
      <c r="J97" s="5" t="n"/>
    </row>
    <row r="98" ht="36" customHeight="1">
      <c r="A98" s="5" t="n"/>
      <c r="B98" s="5" t="n"/>
      <c r="C98" s="10" t="n"/>
      <c r="D98" s="5" t="n"/>
      <c r="E98" s="5" t="n"/>
      <c r="F98" s="5" t="n"/>
      <c r="G98" s="5" t="n"/>
      <c r="H98" s="10" t="n"/>
      <c r="I98" s="10" t="n"/>
      <c r="J98" s="5" t="n"/>
    </row>
    <row r="99" ht="36" customHeight="1">
      <c r="A99" s="5" t="n"/>
      <c r="B99" s="5" t="n"/>
      <c r="C99" s="10" t="n"/>
      <c r="D99" s="5" t="n"/>
      <c r="E99" s="5" t="n"/>
      <c r="F99" s="5" t="n"/>
      <c r="G99" s="5" t="n"/>
      <c r="H99" s="10" t="n"/>
      <c r="I99" s="10" t="n"/>
      <c r="J99" s="5" t="n"/>
    </row>
    <row r="100" ht="36" customHeight="1">
      <c r="A100" s="5" t="n"/>
      <c r="B100" s="5" t="n"/>
      <c r="C100" s="10" t="n"/>
      <c r="D100" s="5" t="n"/>
      <c r="E100" s="5" t="n"/>
      <c r="F100" s="5" t="n"/>
      <c r="G100" s="5" t="n"/>
      <c r="H100" s="10" t="n"/>
      <c r="I100" s="10" t="n"/>
      <c r="J100" s="5" t="n"/>
    </row>
    <row r="101" ht="36" customHeight="1">
      <c r="A101" s="5" t="n"/>
      <c r="B101" s="5" t="n"/>
      <c r="C101" s="10" t="n"/>
      <c r="D101" s="5" t="n"/>
      <c r="E101" s="5" t="n"/>
      <c r="F101" s="5" t="n"/>
      <c r="G101" s="5" t="n"/>
      <c r="H101" s="10" t="n"/>
      <c r="I101" s="10" t="n"/>
      <c r="J101" s="5" t="n"/>
    </row>
    <row r="102" ht="36" customHeight="1">
      <c r="A102" s="5" t="n"/>
      <c r="B102" s="5" t="n"/>
      <c r="C102" s="10" t="n"/>
      <c r="D102" s="5" t="n"/>
      <c r="E102" s="5" t="n"/>
      <c r="F102" s="5" t="n"/>
      <c r="G102" s="5" t="n"/>
      <c r="H102" s="10" t="n"/>
      <c r="I102" s="10" t="n"/>
      <c r="J102" s="5" t="n"/>
    </row>
    <row r="103" ht="36" customHeight="1">
      <c r="A103" s="5" t="n"/>
      <c r="B103" s="5" t="n"/>
      <c r="C103" s="10" t="n"/>
      <c r="D103" s="5" t="n"/>
      <c r="E103" s="5" t="n"/>
      <c r="F103" s="5" t="n"/>
      <c r="G103" s="5" t="n"/>
      <c r="H103" s="10" t="n"/>
      <c r="I103" s="10" t="n"/>
      <c r="J103" s="5" t="n"/>
    </row>
    <row r="104" ht="36" customHeight="1">
      <c r="A104" s="5" t="n"/>
      <c r="B104" s="5" t="n"/>
      <c r="C104" s="10" t="n"/>
      <c r="D104" s="5" t="n"/>
      <c r="E104" s="5" t="n"/>
      <c r="F104" s="5" t="n"/>
      <c r="G104" s="5" t="n"/>
      <c r="H104" s="10" t="n"/>
      <c r="I104" s="10" t="n"/>
      <c r="J104" s="5" t="n"/>
    </row>
    <row r="105" ht="36" customHeight="1">
      <c r="A105" s="5" t="n"/>
      <c r="B105" s="5" t="n"/>
      <c r="C105" s="10" t="n"/>
      <c r="D105" s="5" t="n"/>
      <c r="E105" s="5" t="n"/>
      <c r="F105" s="5" t="n"/>
      <c r="G105" s="5" t="n"/>
      <c r="H105" s="10" t="n"/>
      <c r="I105" s="10" t="n"/>
      <c r="J105" s="5" t="n"/>
    </row>
    <row r="106" ht="36" customHeight="1">
      <c r="A106" s="5" t="n"/>
      <c r="B106" s="5" t="n"/>
      <c r="C106" s="10" t="n"/>
      <c r="D106" s="5" t="n"/>
      <c r="E106" s="5" t="n"/>
      <c r="F106" s="5" t="n"/>
      <c r="G106" s="5" t="n"/>
      <c r="H106" s="10" t="n"/>
      <c r="I106" s="10" t="n"/>
      <c r="J106" s="5" t="n"/>
    </row>
    <row r="107" ht="36" customHeight="1">
      <c r="A107" s="5" t="n"/>
      <c r="B107" s="5" t="n"/>
      <c r="C107" s="10" t="n"/>
      <c r="D107" s="5" t="n"/>
      <c r="E107" s="5" t="n"/>
      <c r="F107" s="5" t="n"/>
      <c r="G107" s="5" t="n"/>
      <c r="H107" s="10" t="n"/>
      <c r="I107" s="10" t="n"/>
      <c r="J107" s="5" t="n"/>
    </row>
    <row r="108" ht="36" customHeight="1">
      <c r="A108" s="5" t="n"/>
      <c r="B108" s="5" t="n"/>
      <c r="C108" s="10" t="n"/>
      <c r="D108" s="5" t="n"/>
      <c r="E108" s="5" t="n"/>
      <c r="F108" s="5" t="n"/>
      <c r="G108" s="5" t="n"/>
      <c r="H108" s="10" t="n"/>
      <c r="I108" s="10" t="n"/>
      <c r="J108" s="5" t="n"/>
    </row>
    <row r="109" ht="36" customHeight="1">
      <c r="A109" s="5" t="n"/>
      <c r="B109" s="5" t="n"/>
      <c r="C109" s="10" t="n"/>
      <c r="D109" s="5" t="n"/>
      <c r="E109" s="5" t="n"/>
      <c r="F109" s="5" t="n"/>
      <c r="G109" s="5" t="n"/>
      <c r="H109" s="10" t="n"/>
      <c r="I109" s="10" t="n"/>
      <c r="J109" s="5" t="n"/>
    </row>
    <row r="110" ht="36" customHeight="1">
      <c r="A110" s="5" t="n"/>
      <c r="B110" s="5" t="n"/>
      <c r="C110" s="10" t="n"/>
      <c r="D110" s="5" t="n"/>
      <c r="E110" s="5" t="n"/>
      <c r="F110" s="5" t="n"/>
      <c r="G110" s="5" t="n"/>
      <c r="H110" s="10" t="n"/>
      <c r="I110" s="10" t="n"/>
      <c r="J110" s="5" t="n"/>
    </row>
    <row r="111" ht="36" customHeight="1">
      <c r="A111" s="5" t="n"/>
      <c r="B111" s="5" t="n"/>
      <c r="C111" s="10" t="n"/>
      <c r="D111" s="5" t="n"/>
      <c r="E111" s="5" t="n"/>
      <c r="F111" s="5" t="n"/>
      <c r="G111" s="5" t="n"/>
      <c r="H111" s="10" t="n"/>
      <c r="I111" s="10" t="n"/>
      <c r="J111" s="5" t="n"/>
    </row>
    <row r="112" ht="36" customHeight="1">
      <c r="A112" s="5" t="n"/>
      <c r="B112" s="5" t="n"/>
      <c r="C112" s="10" t="n"/>
      <c r="D112" s="5" t="n"/>
      <c r="E112" s="5" t="n"/>
      <c r="F112" s="5" t="n"/>
      <c r="G112" s="5" t="n"/>
      <c r="H112" s="10" t="n"/>
      <c r="I112" s="10" t="n"/>
      <c r="J112" s="5" t="n"/>
    </row>
    <row r="113" ht="36" customHeight="1">
      <c r="A113" s="5" t="n"/>
      <c r="B113" s="5" t="n"/>
      <c r="C113" s="10" t="n"/>
      <c r="D113" s="5" t="n"/>
      <c r="E113" s="5" t="n"/>
      <c r="F113" s="5" t="n"/>
      <c r="G113" s="5" t="n"/>
      <c r="H113" s="10" t="n"/>
      <c r="I113" s="10" t="n"/>
      <c r="J113" s="5" t="n"/>
    </row>
    <row r="114" ht="36" customHeight="1">
      <c r="A114" s="5" t="n"/>
      <c r="B114" s="5" t="n"/>
      <c r="C114" s="10" t="n"/>
      <c r="D114" s="5" t="n"/>
      <c r="E114" s="5" t="n"/>
      <c r="F114" s="5" t="n"/>
      <c r="G114" s="5" t="n"/>
      <c r="H114" s="10" t="n"/>
      <c r="I114" s="10" t="n"/>
      <c r="J114" s="5" t="n"/>
    </row>
    <row r="115" ht="36" customHeight="1">
      <c r="A115" s="5" t="n"/>
      <c r="B115" s="5" t="n"/>
      <c r="C115" s="10" t="n"/>
      <c r="D115" s="5" t="n"/>
      <c r="E115" s="5" t="n"/>
      <c r="F115" s="5" t="n"/>
      <c r="G115" s="5" t="n"/>
      <c r="H115" s="10" t="n"/>
      <c r="I115" s="10" t="n"/>
      <c r="J115" s="5" t="n"/>
    </row>
    <row r="116" ht="36" customHeight="1">
      <c r="A116" s="5" t="n"/>
      <c r="B116" s="5" t="n"/>
      <c r="C116" s="10" t="n"/>
      <c r="D116" s="5" t="n"/>
      <c r="E116" s="5" t="n"/>
      <c r="F116" s="5" t="n"/>
      <c r="G116" s="5" t="n"/>
      <c r="H116" s="10" t="n"/>
      <c r="I116" s="10" t="n"/>
      <c r="J116" s="5" t="n"/>
    </row>
    <row r="117" ht="36" customHeight="1">
      <c r="A117" s="5" t="n"/>
      <c r="B117" s="5" t="n"/>
      <c r="C117" s="10" t="n"/>
      <c r="D117" s="5" t="n"/>
      <c r="E117" s="5" t="n"/>
      <c r="F117" s="5" t="n"/>
      <c r="G117" s="5" t="n"/>
      <c r="H117" s="10" t="n"/>
      <c r="I117" s="10" t="n"/>
      <c r="J117" s="5" t="n"/>
    </row>
    <row r="118" ht="36" customHeight="1">
      <c r="A118" s="5" t="n"/>
      <c r="B118" s="5" t="n"/>
      <c r="C118" s="10" t="n"/>
      <c r="D118" s="5" t="n"/>
      <c r="E118" s="5" t="n"/>
      <c r="F118" s="5" t="n"/>
      <c r="G118" s="5" t="n"/>
      <c r="H118" s="10" t="n"/>
      <c r="I118" s="10" t="n"/>
      <c r="J118" s="5" t="n"/>
    </row>
    <row r="119" ht="36" customHeight="1">
      <c r="A119" s="5" t="n"/>
      <c r="B119" s="5" t="n"/>
      <c r="C119" s="10" t="n"/>
      <c r="D119" s="5" t="n"/>
      <c r="E119" s="5" t="n"/>
      <c r="F119" s="5" t="n"/>
      <c r="G119" s="5" t="n"/>
      <c r="H119" s="10" t="n"/>
      <c r="I119" s="10" t="n"/>
      <c r="J119" s="5" t="n"/>
    </row>
    <row r="120" ht="36" customHeight="1">
      <c r="A120" s="5" t="n"/>
      <c r="B120" s="5" t="n"/>
      <c r="C120" s="10" t="n"/>
      <c r="D120" s="5" t="n"/>
      <c r="E120" s="5" t="n"/>
      <c r="F120" s="5" t="n"/>
      <c r="G120" s="5" t="n"/>
      <c r="H120" s="10" t="n"/>
      <c r="I120" s="10" t="n"/>
      <c r="J120" s="5" t="n"/>
    </row>
    <row r="121" ht="36" customHeight="1">
      <c r="A121" s="5" t="n"/>
      <c r="B121" s="5" t="n"/>
      <c r="C121" s="10" t="n"/>
      <c r="D121" s="5" t="n"/>
      <c r="E121" s="5" t="n"/>
      <c r="F121" s="5" t="n"/>
      <c r="G121" s="5" t="n"/>
      <c r="H121" s="10" t="n"/>
      <c r="I121" s="10" t="n"/>
      <c r="J121" s="5" t="n"/>
    </row>
    <row r="122" ht="36" customHeight="1">
      <c r="A122" s="5" t="n"/>
      <c r="B122" s="5" t="n"/>
      <c r="C122" s="10" t="n"/>
      <c r="D122" s="5" t="n"/>
      <c r="E122" s="5" t="n"/>
      <c r="F122" s="5" t="n"/>
      <c r="G122" s="5" t="n"/>
      <c r="H122" s="10" t="n"/>
      <c r="I122" s="10" t="n"/>
      <c r="J122" s="5" t="n"/>
    </row>
    <row r="123" ht="36" customHeight="1">
      <c r="A123" s="5" t="n"/>
      <c r="B123" s="5" t="n"/>
      <c r="C123" s="10" t="n"/>
      <c r="D123" s="5" t="n"/>
      <c r="E123" s="5" t="n"/>
      <c r="F123" s="5" t="n"/>
      <c r="G123" s="5" t="n"/>
      <c r="H123" s="10" t="n"/>
      <c r="I123" s="10" t="n"/>
      <c r="J123" s="5" t="n"/>
    </row>
    <row r="124" ht="36" customHeight="1">
      <c r="A124" s="5" t="n"/>
      <c r="B124" s="5" t="n"/>
      <c r="C124" s="10" t="n"/>
      <c r="D124" s="5" t="n"/>
      <c r="E124" s="5" t="n"/>
      <c r="F124" s="5" t="n"/>
      <c r="G124" s="5" t="n"/>
      <c r="H124" s="10" t="n"/>
      <c r="I124" s="10" t="n"/>
      <c r="J124" s="5" t="n"/>
    </row>
    <row r="125" ht="36" customHeight="1">
      <c r="A125" s="5" t="n"/>
      <c r="B125" s="5" t="n"/>
      <c r="C125" s="10" t="n"/>
      <c r="D125" s="5" t="n"/>
      <c r="E125" s="5" t="n"/>
      <c r="F125" s="5" t="n"/>
      <c r="G125" s="5" t="n"/>
      <c r="H125" s="10" t="n"/>
      <c r="I125" s="10" t="n"/>
      <c r="J125" s="5" t="n"/>
    </row>
    <row r="126" ht="36" customHeight="1">
      <c r="A126" s="5" t="n"/>
      <c r="B126" s="5" t="n"/>
      <c r="C126" s="10" t="n"/>
      <c r="D126" s="5" t="n"/>
      <c r="E126" s="5" t="n"/>
      <c r="F126" s="5" t="n"/>
      <c r="G126" s="5" t="n"/>
      <c r="H126" s="10" t="n"/>
      <c r="I126" s="10" t="n"/>
      <c r="J126" s="5" t="n"/>
    </row>
    <row r="127" ht="36" customHeight="1">
      <c r="A127" s="5" t="n"/>
      <c r="B127" s="5" t="n"/>
      <c r="C127" s="10" t="n"/>
      <c r="D127" s="5" t="n"/>
      <c r="E127" s="5" t="n"/>
      <c r="F127" s="5" t="n"/>
      <c r="G127" s="5" t="n"/>
      <c r="H127" s="10" t="n"/>
      <c r="I127" s="10" t="n"/>
      <c r="J127" s="5" t="n"/>
    </row>
    <row r="128" ht="36" customHeight="1">
      <c r="A128" s="5" t="n"/>
      <c r="B128" s="5" t="n"/>
      <c r="C128" s="10" t="n"/>
      <c r="D128" s="5" t="n"/>
      <c r="E128" s="5" t="n"/>
      <c r="F128" s="5" t="n"/>
      <c r="G128" s="5" t="n"/>
      <c r="H128" s="10" t="n"/>
      <c r="I128" s="10" t="n"/>
      <c r="J128" s="5" t="n"/>
    </row>
    <row r="129" ht="36" customHeight="1">
      <c r="A129" s="5" t="n"/>
      <c r="B129" s="5" t="n"/>
      <c r="C129" s="10" t="n"/>
      <c r="D129" s="5" t="n"/>
      <c r="E129" s="5" t="n"/>
      <c r="F129" s="5" t="n"/>
      <c r="G129" s="5" t="n"/>
      <c r="H129" s="10" t="n"/>
      <c r="I129" s="10" t="n"/>
      <c r="J129" s="5" t="n"/>
    </row>
    <row r="130" ht="36" customHeight="1">
      <c r="A130" s="5" t="n"/>
      <c r="B130" s="5" t="n"/>
      <c r="C130" s="10" t="n"/>
      <c r="D130" s="5" t="n"/>
      <c r="E130" s="5" t="n"/>
      <c r="F130" s="5" t="n"/>
      <c r="G130" s="5" t="n"/>
      <c r="H130" s="10" t="n"/>
      <c r="I130" s="10" t="n"/>
      <c r="J130" s="5" t="n"/>
    </row>
    <row r="131" ht="36" customHeight="1">
      <c r="A131" s="5" t="n"/>
      <c r="B131" s="5" t="n"/>
      <c r="C131" s="10" t="n"/>
      <c r="D131" s="5" t="n"/>
      <c r="E131" s="5" t="n"/>
      <c r="F131" s="5" t="n"/>
      <c r="G131" s="5" t="n"/>
      <c r="H131" s="10" t="n"/>
      <c r="I131" s="10" t="n"/>
      <c r="J131" s="5" t="n"/>
    </row>
    <row r="132" ht="36" customHeight="1">
      <c r="A132" s="5" t="n"/>
      <c r="B132" s="5" t="n"/>
      <c r="C132" s="10" t="n"/>
      <c r="D132" s="5" t="n"/>
      <c r="E132" s="5" t="n"/>
      <c r="F132" s="5" t="n"/>
      <c r="G132" s="5" t="n"/>
      <c r="H132" s="10" t="n"/>
      <c r="I132" s="10" t="n"/>
      <c r="J132" s="5" t="n"/>
    </row>
    <row r="133" ht="36" customHeight="1">
      <c r="A133" s="5" t="n"/>
      <c r="B133" s="5" t="n"/>
      <c r="C133" s="10" t="n"/>
      <c r="D133" s="5" t="n"/>
      <c r="E133" s="5" t="n"/>
      <c r="F133" s="5" t="n"/>
      <c r="G133" s="5" t="n"/>
      <c r="H133" s="10" t="n"/>
      <c r="I133" s="10" t="n"/>
      <c r="J133" s="5" t="n"/>
    </row>
    <row r="134" ht="36" customHeight="1">
      <c r="A134" s="5" t="n"/>
      <c r="B134" s="5" t="n"/>
      <c r="C134" s="10" t="n"/>
      <c r="D134" s="5" t="n"/>
      <c r="E134" s="5" t="n"/>
      <c r="F134" s="5" t="n"/>
      <c r="G134" s="5" t="n"/>
      <c r="H134" s="10" t="n"/>
      <c r="I134" s="10" t="n"/>
      <c r="J134" s="5" t="n"/>
    </row>
    <row r="135" ht="36" customHeight="1">
      <c r="A135" s="5" t="n"/>
      <c r="B135" s="5" t="n"/>
      <c r="C135" s="10" t="n"/>
      <c r="D135" s="5" t="n"/>
      <c r="E135" s="5" t="n"/>
      <c r="F135" s="5" t="n"/>
      <c r="G135" s="5" t="n"/>
      <c r="H135" s="10" t="n"/>
      <c r="I135" s="10" t="n"/>
      <c r="J135" s="5" t="n"/>
    </row>
    <row r="136" ht="36" customHeight="1">
      <c r="A136" s="5" t="n"/>
      <c r="B136" s="5" t="n"/>
      <c r="C136" s="10" t="n"/>
      <c r="D136" s="5" t="n"/>
      <c r="E136" s="5" t="n"/>
      <c r="F136" s="5" t="n"/>
      <c r="G136" s="5" t="n"/>
      <c r="H136" s="10" t="n"/>
      <c r="I136" s="10" t="n"/>
      <c r="J136" s="5" t="n"/>
    </row>
    <row r="137" ht="36" customHeight="1">
      <c r="A137" s="5" t="n"/>
      <c r="B137" s="5" t="n"/>
      <c r="C137" s="10" t="n"/>
      <c r="D137" s="5" t="n"/>
      <c r="E137" s="5" t="n"/>
      <c r="F137" s="5" t="n"/>
      <c r="G137" s="5" t="n"/>
      <c r="H137" s="10" t="n"/>
      <c r="I137" s="10" t="n"/>
      <c r="J137" s="5" t="n"/>
    </row>
    <row r="138" ht="36" customHeight="1">
      <c r="A138" s="5" t="n"/>
      <c r="B138" s="5" t="n"/>
      <c r="C138" s="10" t="n"/>
      <c r="D138" s="5" t="n"/>
      <c r="E138" s="5" t="n"/>
      <c r="F138" s="5" t="n"/>
      <c r="G138" s="5" t="n"/>
      <c r="H138" s="10" t="n"/>
      <c r="I138" s="10" t="n"/>
      <c r="J138" s="5" t="n"/>
    </row>
    <row r="139" ht="36" customHeight="1">
      <c r="A139" s="5" t="n"/>
      <c r="B139" s="5" t="n"/>
      <c r="C139" s="10" t="n"/>
      <c r="D139" s="5" t="n"/>
      <c r="E139" s="5" t="n"/>
      <c r="F139" s="5" t="n"/>
      <c r="G139" s="5" t="n"/>
      <c r="H139" s="10" t="n"/>
      <c r="I139" s="10" t="n"/>
      <c r="J139" s="5" t="n"/>
    </row>
    <row r="140" ht="36" customHeight="1">
      <c r="A140" s="5" t="n"/>
      <c r="B140" s="5" t="n"/>
      <c r="C140" s="10" t="n"/>
      <c r="D140" s="5" t="n"/>
      <c r="E140" s="5" t="n"/>
      <c r="F140" s="5" t="n"/>
      <c r="G140" s="5" t="n"/>
      <c r="H140" s="10" t="n"/>
      <c r="I140" s="10" t="n"/>
      <c r="J140" s="5" t="n"/>
    </row>
    <row r="141" ht="36" customHeight="1">
      <c r="A141" s="5" t="n"/>
      <c r="B141" s="5" t="n"/>
      <c r="C141" s="10" t="n"/>
      <c r="D141" s="5" t="n"/>
      <c r="E141" s="5" t="n"/>
      <c r="F141" s="5" t="n"/>
      <c r="G141" s="5" t="n"/>
      <c r="H141" s="10" t="n"/>
      <c r="I141" s="10" t="n"/>
      <c r="J141" s="5" t="n"/>
    </row>
    <row r="142" ht="36" customHeight="1">
      <c r="A142" s="5" t="n"/>
      <c r="B142" s="5" t="n"/>
      <c r="C142" s="10" t="n"/>
      <c r="D142" s="5" t="n"/>
      <c r="E142" s="5" t="n"/>
      <c r="F142" s="5" t="n"/>
      <c r="G142" s="5" t="n"/>
      <c r="H142" s="10" t="n"/>
      <c r="I142" s="10" t="n"/>
      <c r="J142" s="5" t="n"/>
    </row>
    <row r="143" ht="36" customHeight="1">
      <c r="A143" s="5" t="n"/>
      <c r="B143" s="5" t="n"/>
      <c r="C143" s="10" t="n"/>
      <c r="D143" s="5" t="n"/>
      <c r="E143" s="5" t="n"/>
      <c r="F143" s="5" t="n"/>
      <c r="G143" s="5" t="n"/>
      <c r="H143" s="10" t="n"/>
      <c r="I143" s="10" t="n"/>
      <c r="J143" s="5" t="n"/>
    </row>
    <row r="144" ht="36" customHeight="1">
      <c r="A144" s="5" t="n"/>
      <c r="B144" s="5" t="n"/>
      <c r="C144" s="10" t="n"/>
      <c r="D144" s="5" t="n"/>
      <c r="E144" s="5" t="n"/>
      <c r="F144" s="5" t="n"/>
      <c r="G144" s="5" t="n"/>
      <c r="H144" s="10" t="n"/>
      <c r="I144" s="10" t="n"/>
      <c r="J144" s="5" t="n"/>
    </row>
    <row r="145" ht="36" customHeight="1">
      <c r="A145" s="5" t="n"/>
      <c r="B145" s="5" t="n"/>
      <c r="C145" s="10" t="n"/>
      <c r="D145" s="5" t="n"/>
      <c r="E145" s="5" t="n"/>
      <c r="F145" s="5" t="n"/>
      <c r="G145" s="5" t="n"/>
      <c r="H145" s="10" t="n"/>
      <c r="I145" s="10" t="n"/>
      <c r="J145" s="5" t="n"/>
    </row>
    <row r="146" ht="36" customHeight="1">
      <c r="A146" s="5" t="n"/>
      <c r="B146" s="5" t="n"/>
      <c r="C146" s="10" t="n"/>
      <c r="D146" s="5" t="n"/>
      <c r="E146" s="5" t="n"/>
      <c r="F146" s="5" t="n"/>
      <c r="G146" s="5" t="n"/>
      <c r="H146" s="10" t="n"/>
      <c r="I146" s="10" t="n"/>
      <c r="J146" s="5" t="n"/>
    </row>
    <row r="147" ht="36" customHeight="1">
      <c r="A147" s="5" t="n"/>
      <c r="B147" s="5" t="n"/>
      <c r="C147" s="10" t="n"/>
      <c r="D147" s="5" t="n"/>
      <c r="E147" s="5" t="n"/>
      <c r="F147" s="5" t="n"/>
      <c r="G147" s="5" t="n"/>
      <c r="H147" s="10" t="n"/>
      <c r="I147" s="10" t="n"/>
      <c r="J147" s="5" t="n"/>
    </row>
    <row r="148" ht="36" customHeight="1">
      <c r="A148" s="5" t="n"/>
      <c r="B148" s="5" t="n"/>
      <c r="C148" s="10" t="n"/>
      <c r="D148" s="5" t="n"/>
      <c r="E148" s="5" t="n"/>
      <c r="F148" s="5" t="n"/>
      <c r="G148" s="5" t="n"/>
      <c r="H148" s="10" t="n"/>
      <c r="I148" s="10" t="n"/>
      <c r="J148" s="5" t="n"/>
    </row>
    <row r="149" ht="36" customHeight="1">
      <c r="A149" s="5" t="n"/>
      <c r="B149" s="5" t="n"/>
      <c r="C149" s="10" t="n"/>
      <c r="D149" s="5" t="n"/>
      <c r="E149" s="5" t="n"/>
      <c r="F149" s="5" t="n"/>
      <c r="G149" s="5" t="n"/>
      <c r="H149" s="10" t="n"/>
      <c r="I149" s="10" t="n"/>
      <c r="J149" s="5" t="n"/>
    </row>
    <row r="150" ht="36" customHeight="1">
      <c r="A150" s="5" t="n"/>
      <c r="B150" s="5" t="n"/>
      <c r="C150" s="10" t="n"/>
      <c r="D150" s="5" t="n"/>
      <c r="E150" s="5" t="n"/>
      <c r="F150" s="5" t="n"/>
      <c r="G150" s="5" t="n"/>
      <c r="H150" s="10" t="n"/>
      <c r="I150" s="10" t="n"/>
      <c r="J150" s="5" t="n"/>
    </row>
    <row r="151" ht="36" customHeight="1">
      <c r="A151" s="5" t="n"/>
      <c r="B151" s="5" t="n"/>
      <c r="C151" s="10" t="n"/>
      <c r="D151" s="5" t="n"/>
      <c r="E151" s="5" t="n"/>
      <c r="F151" s="5" t="n"/>
      <c r="G151" s="5" t="n"/>
      <c r="H151" s="10" t="n"/>
      <c r="I151" s="10" t="n"/>
      <c r="J151" s="5" t="n"/>
    </row>
    <row r="152" ht="36" customHeight="1">
      <c r="A152" s="5" t="n"/>
      <c r="B152" s="5" t="n"/>
      <c r="C152" s="10" t="n"/>
      <c r="D152" s="5" t="n"/>
      <c r="E152" s="5" t="n"/>
      <c r="F152" s="5" t="n"/>
      <c r="G152" s="5" t="n"/>
      <c r="H152" s="10" t="n"/>
      <c r="I152" s="10" t="n"/>
      <c r="J152" s="5" t="n"/>
    </row>
    <row r="153" ht="36" customHeight="1">
      <c r="A153" s="5" t="n"/>
      <c r="B153" s="5" t="n"/>
      <c r="C153" s="10" t="n"/>
      <c r="D153" s="5" t="n"/>
      <c r="E153" s="5" t="n"/>
      <c r="F153" s="5" t="n"/>
      <c r="G153" s="5" t="n"/>
      <c r="H153" s="10" t="n"/>
      <c r="I153" s="10" t="n"/>
      <c r="J153" s="5" t="n"/>
    </row>
    <row r="154" ht="36" customHeight="1">
      <c r="A154" s="5" t="n"/>
      <c r="B154" s="5" t="n"/>
      <c r="C154" s="10" t="n"/>
      <c r="D154" s="5" t="n"/>
      <c r="E154" s="5" t="n"/>
      <c r="F154" s="5" t="n"/>
      <c r="G154" s="5" t="n"/>
      <c r="H154" s="10" t="n"/>
      <c r="I154" s="10" t="n"/>
      <c r="J154" s="5" t="n"/>
    </row>
    <row r="155" ht="36" customHeight="1">
      <c r="A155" s="5" t="n"/>
      <c r="B155" s="5" t="n"/>
      <c r="C155" s="10" t="n"/>
      <c r="D155" s="5" t="n"/>
      <c r="E155" s="5" t="n"/>
      <c r="F155" s="5" t="n"/>
      <c r="G155" s="5" t="n"/>
      <c r="H155" s="10" t="n"/>
      <c r="I155" s="10" t="n"/>
      <c r="J155" s="5" t="n"/>
    </row>
    <row r="156" ht="36" customHeight="1">
      <c r="A156" s="5" t="n"/>
      <c r="B156" s="5" t="n"/>
      <c r="C156" s="10" t="n"/>
      <c r="D156" s="5" t="n"/>
      <c r="E156" s="5" t="n"/>
      <c r="F156" s="5" t="n"/>
      <c r="G156" s="5" t="n"/>
      <c r="H156" s="10" t="n"/>
      <c r="I156" s="10" t="n"/>
      <c r="J156" s="5" t="n"/>
    </row>
    <row r="157" ht="36" customHeight="1">
      <c r="A157" s="5" t="n"/>
      <c r="B157" s="5" t="n"/>
      <c r="C157" s="10" t="n"/>
      <c r="D157" s="5" t="n"/>
      <c r="E157" s="5" t="n"/>
      <c r="F157" s="5" t="n"/>
      <c r="G157" s="5" t="n"/>
      <c r="H157" s="10" t="n"/>
      <c r="I157" s="10" t="n"/>
      <c r="J157" s="5" t="n"/>
    </row>
    <row r="158" ht="36" customHeight="1">
      <c r="A158" s="5" t="n"/>
      <c r="B158" s="5" t="n"/>
      <c r="C158" s="10" t="n"/>
      <c r="D158" s="5" t="n"/>
      <c r="E158" s="5" t="n"/>
      <c r="F158" s="5" t="n"/>
      <c r="G158" s="5" t="n"/>
      <c r="H158" s="10" t="n"/>
      <c r="I158" s="10" t="n"/>
      <c r="J158" s="5" t="n"/>
    </row>
    <row r="159" ht="36" customHeight="1">
      <c r="A159" s="5" t="n"/>
      <c r="B159" s="5" t="n"/>
      <c r="C159" s="10" t="n"/>
      <c r="D159" s="5" t="n"/>
      <c r="E159" s="5" t="n"/>
      <c r="F159" s="5" t="n"/>
      <c r="G159" s="5" t="n"/>
      <c r="H159" s="10" t="n"/>
      <c r="I159" s="10" t="n"/>
      <c r="J159" s="5" t="n"/>
    </row>
    <row r="160" ht="36" customHeight="1">
      <c r="A160" s="5" t="n"/>
      <c r="B160" s="5" t="n"/>
      <c r="C160" s="10" t="n"/>
      <c r="D160" s="5" t="n"/>
      <c r="E160" s="5" t="n"/>
      <c r="F160" s="5" t="n"/>
      <c r="G160" s="5" t="n"/>
      <c r="H160" s="10" t="n"/>
      <c r="I160" s="10" t="n"/>
      <c r="J160" s="5" t="n"/>
    </row>
    <row r="161" ht="36" customHeight="1">
      <c r="A161" s="5" t="n"/>
      <c r="B161" s="5" t="n"/>
      <c r="C161" s="10" t="n"/>
      <c r="D161" s="5" t="n"/>
      <c r="E161" s="5" t="n"/>
      <c r="F161" s="5" t="n"/>
      <c r="G161" s="5" t="n"/>
      <c r="H161" s="10" t="n"/>
      <c r="I161" s="10" t="n"/>
      <c r="J161" s="5" t="n"/>
    </row>
    <row r="162" ht="36" customHeight="1">
      <c r="A162" s="5" t="n"/>
      <c r="B162" s="5" t="n"/>
      <c r="C162" s="10" t="n"/>
      <c r="D162" s="5" t="n"/>
      <c r="E162" s="5" t="n"/>
      <c r="F162" s="5" t="n"/>
      <c r="G162" s="5" t="n"/>
      <c r="H162" s="10" t="n"/>
      <c r="I162" s="10" t="n"/>
      <c r="J162" s="5" t="n"/>
    </row>
    <row r="163" ht="36" customHeight="1">
      <c r="A163" s="5" t="n"/>
      <c r="B163" s="5" t="n"/>
      <c r="C163" s="10" t="n"/>
      <c r="D163" s="5" t="n"/>
      <c r="E163" s="5" t="n"/>
      <c r="F163" s="5" t="n"/>
      <c r="G163" s="5" t="n"/>
      <c r="H163" s="10" t="n"/>
      <c r="I163" s="10" t="n"/>
      <c r="J163" s="5" t="n"/>
    </row>
    <row r="164" ht="36" customHeight="1">
      <c r="A164" s="5" t="n"/>
      <c r="B164" s="5" t="n"/>
      <c r="C164" s="10" t="n"/>
      <c r="D164" s="5" t="n"/>
      <c r="E164" s="5" t="n"/>
      <c r="F164" s="5" t="n"/>
      <c r="G164" s="5" t="n"/>
      <c r="H164" s="10" t="n"/>
      <c r="I164" s="10" t="n"/>
      <c r="J164" s="5" t="n"/>
    </row>
    <row r="165" ht="36" customHeight="1">
      <c r="A165" s="5" t="n"/>
      <c r="B165" s="5" t="n"/>
      <c r="C165" s="10" t="n"/>
      <c r="D165" s="5" t="n"/>
      <c r="E165" s="5" t="n"/>
      <c r="F165" s="5" t="n"/>
      <c r="G165" s="5" t="n"/>
      <c r="H165" s="10" t="n"/>
      <c r="I165" s="10" t="n"/>
      <c r="J165" s="5" t="n"/>
    </row>
    <row r="166" ht="36" customHeight="1">
      <c r="A166" s="5" t="n"/>
      <c r="B166" s="5" t="n"/>
      <c r="C166" s="10" t="n"/>
      <c r="D166" s="5" t="n"/>
      <c r="E166" s="5" t="n"/>
      <c r="F166" s="5" t="n"/>
      <c r="G166" s="5" t="n"/>
      <c r="H166" s="10" t="n"/>
      <c r="I166" s="10" t="n"/>
      <c r="J166" s="5" t="n"/>
    </row>
    <row r="167" ht="36" customHeight="1">
      <c r="A167" s="5" t="n"/>
      <c r="B167" s="5" t="n"/>
      <c r="C167" s="10" t="n"/>
      <c r="D167" s="5" t="n"/>
      <c r="E167" s="5" t="n"/>
      <c r="F167" s="5" t="n"/>
      <c r="G167" s="5" t="n"/>
      <c r="H167" s="10" t="n"/>
      <c r="I167" s="10" t="n"/>
      <c r="J167" s="5" t="n"/>
    </row>
    <row r="168" ht="36" customHeight="1">
      <c r="A168" s="5" t="n"/>
      <c r="B168" s="5" t="n"/>
      <c r="C168" s="10" t="n"/>
      <c r="D168" s="5" t="n"/>
      <c r="E168" s="5" t="n"/>
      <c r="F168" s="5" t="n"/>
      <c r="G168" s="5" t="n"/>
      <c r="H168" s="10" t="n"/>
      <c r="I168" s="10" t="n"/>
      <c r="J168" s="5" t="n"/>
    </row>
    <row r="169" ht="36" customHeight="1">
      <c r="A169" s="5" t="n"/>
      <c r="B169" s="5" t="n"/>
      <c r="C169" s="10" t="n"/>
      <c r="D169" s="5" t="n"/>
      <c r="E169" s="5" t="n"/>
      <c r="F169" s="5" t="n"/>
      <c r="G169" s="5" t="n"/>
      <c r="H169" s="10" t="n"/>
      <c r="I169" s="10" t="n"/>
      <c r="J169" s="5" t="n"/>
    </row>
    <row r="170" ht="36" customHeight="1">
      <c r="A170" s="5" t="n"/>
      <c r="B170" s="5" t="n"/>
      <c r="C170" s="10" t="n"/>
      <c r="D170" s="5" t="n"/>
      <c r="E170" s="5" t="n"/>
      <c r="F170" s="5" t="n"/>
      <c r="G170" s="5" t="n"/>
      <c r="H170" s="10" t="n"/>
      <c r="I170" s="10" t="n"/>
      <c r="J170" s="5" t="n"/>
    </row>
    <row r="171" ht="36" customHeight="1">
      <c r="A171" s="5" t="n"/>
      <c r="B171" s="5" t="n"/>
      <c r="C171" s="10" t="n"/>
      <c r="D171" s="5" t="n"/>
      <c r="E171" s="5" t="n"/>
      <c r="F171" s="5" t="n"/>
      <c r="G171" s="5" t="n"/>
      <c r="H171" s="10" t="n"/>
      <c r="I171" s="10" t="n"/>
      <c r="J171" s="5" t="n"/>
    </row>
    <row r="172" ht="36" customHeight="1">
      <c r="A172" s="5" t="n"/>
      <c r="B172" s="5" t="n"/>
      <c r="C172" s="10" t="n"/>
      <c r="D172" s="5" t="n"/>
      <c r="E172" s="5" t="n"/>
      <c r="F172" s="5" t="n"/>
      <c r="G172" s="5" t="n"/>
      <c r="H172" s="10" t="n"/>
      <c r="I172" s="10" t="n"/>
      <c r="J172" s="5" t="n"/>
    </row>
    <row r="173" ht="36" customHeight="1">
      <c r="A173" s="5" t="n"/>
      <c r="B173" s="5" t="n"/>
      <c r="C173" s="10" t="n"/>
      <c r="D173" s="5" t="n"/>
      <c r="E173" s="5" t="n"/>
      <c r="F173" s="5" t="n"/>
      <c r="G173" s="5" t="n"/>
      <c r="H173" s="10" t="n"/>
      <c r="I173" s="10" t="n"/>
      <c r="J173" s="5" t="n"/>
    </row>
    <row r="174" ht="36" customHeight="1">
      <c r="A174" s="5" t="n"/>
      <c r="B174" s="5" t="n"/>
      <c r="C174" s="10" t="n"/>
      <c r="D174" s="5" t="n"/>
      <c r="E174" s="5" t="n"/>
      <c r="F174" s="5" t="n"/>
      <c r="G174" s="5" t="n"/>
      <c r="H174" s="10" t="n"/>
      <c r="I174" s="10" t="n"/>
      <c r="J174" s="5" t="n"/>
    </row>
    <row r="175" ht="36" customHeight="1">
      <c r="A175" s="5" t="n"/>
      <c r="B175" s="5" t="n"/>
      <c r="C175" s="10" t="n"/>
      <c r="D175" s="5" t="n"/>
      <c r="E175" s="5" t="n"/>
      <c r="F175" s="5" t="n"/>
      <c r="G175" s="5" t="n"/>
      <c r="H175" s="10" t="n"/>
      <c r="I175" s="10" t="n"/>
      <c r="J175" s="5" t="n"/>
    </row>
    <row r="176" ht="36" customHeight="1">
      <c r="A176" s="5" t="n"/>
      <c r="B176" s="5" t="n"/>
      <c r="C176" s="10" t="n"/>
      <c r="D176" s="5" t="n"/>
      <c r="E176" s="5" t="n"/>
      <c r="F176" s="5" t="n"/>
      <c r="G176" s="5" t="n"/>
      <c r="H176" s="10" t="n"/>
      <c r="I176" s="10" t="n"/>
      <c r="J176" s="5" t="n"/>
    </row>
    <row r="177" ht="36" customHeight="1">
      <c r="A177" s="5" t="n"/>
      <c r="B177" s="5" t="n"/>
      <c r="C177" s="10" t="n"/>
      <c r="D177" s="5" t="n"/>
      <c r="E177" s="5" t="n"/>
      <c r="F177" s="5" t="n"/>
      <c r="G177" s="5" t="n"/>
      <c r="H177" s="10" t="n"/>
      <c r="I177" s="10" t="n"/>
      <c r="J177" s="5" t="n"/>
    </row>
    <row r="178" ht="36" customHeight="1">
      <c r="A178" s="5" t="n"/>
      <c r="B178" s="5" t="n"/>
      <c r="C178" s="10" t="n"/>
      <c r="D178" s="5" t="n"/>
      <c r="E178" s="5" t="n"/>
      <c r="F178" s="5" t="n"/>
      <c r="G178" s="5" t="n"/>
      <c r="H178" s="10" t="n"/>
      <c r="I178" s="10" t="n"/>
      <c r="J178" s="5" t="n"/>
    </row>
    <row r="179" ht="36" customHeight="1">
      <c r="A179" s="5" t="n"/>
      <c r="B179" s="5" t="n"/>
      <c r="C179" s="10" t="n"/>
      <c r="D179" s="5" t="n"/>
      <c r="E179" s="5" t="n"/>
      <c r="F179" s="5" t="n"/>
      <c r="G179" s="5" t="n"/>
      <c r="H179" s="10" t="n"/>
      <c r="I179" s="10" t="n"/>
      <c r="J179" s="5" t="n"/>
    </row>
    <row r="180" ht="36" customHeight="1">
      <c r="A180" s="5" t="n"/>
      <c r="B180" s="5" t="n"/>
      <c r="C180" s="10" t="n"/>
      <c r="D180" s="5" t="n"/>
      <c r="E180" s="5" t="n"/>
      <c r="F180" s="5" t="n"/>
      <c r="G180" s="5" t="n"/>
      <c r="H180" s="10" t="n"/>
      <c r="I180" s="10" t="n"/>
      <c r="J180" s="5" t="n"/>
    </row>
    <row r="181" ht="36" customHeight="1">
      <c r="A181" s="5" t="n"/>
      <c r="B181" s="5" t="n"/>
      <c r="C181" s="10" t="n"/>
      <c r="D181" s="5" t="n"/>
      <c r="E181" s="5" t="n"/>
      <c r="F181" s="5" t="n"/>
      <c r="G181" s="5" t="n"/>
      <c r="H181" s="10" t="n"/>
      <c r="I181" s="10" t="n"/>
      <c r="J181" s="5" t="n"/>
    </row>
    <row r="182" ht="36" customHeight="1">
      <c r="A182" s="5" t="n"/>
      <c r="B182" s="5" t="n"/>
      <c r="C182" s="10" t="n"/>
      <c r="D182" s="5" t="n"/>
      <c r="E182" s="5" t="n"/>
      <c r="F182" s="5" t="n"/>
      <c r="G182" s="5" t="n"/>
      <c r="H182" s="10" t="n"/>
      <c r="I182" s="10" t="n"/>
      <c r="J182" s="5" t="n"/>
    </row>
    <row r="183" ht="36" customHeight="1">
      <c r="A183" s="5" t="n"/>
      <c r="B183" s="5" t="n"/>
      <c r="C183" s="10" t="n"/>
      <c r="D183" s="5" t="n"/>
      <c r="E183" s="5" t="n"/>
      <c r="F183" s="5" t="n"/>
      <c r="G183" s="5" t="n"/>
      <c r="H183" s="10" t="n"/>
      <c r="I183" s="10" t="n"/>
      <c r="J183" s="5" t="n"/>
    </row>
    <row r="184" ht="36" customHeight="1">
      <c r="A184" s="5" t="n"/>
      <c r="B184" s="5" t="n"/>
      <c r="C184" s="10" t="n"/>
      <c r="D184" s="5" t="n"/>
      <c r="E184" s="5" t="n"/>
      <c r="F184" s="5" t="n"/>
      <c r="G184" s="5" t="n"/>
      <c r="H184" s="10" t="n"/>
      <c r="I184" s="10" t="n"/>
      <c r="J184" s="5" t="n"/>
    </row>
    <row r="185" ht="36" customHeight="1">
      <c r="A185" s="5" t="n"/>
      <c r="B185" s="5" t="n"/>
      <c r="C185" s="10" t="n"/>
      <c r="D185" s="5" t="n"/>
      <c r="E185" s="5" t="n"/>
      <c r="F185" s="5" t="n"/>
      <c r="G185" s="5" t="n"/>
      <c r="H185" s="10" t="n"/>
      <c r="I185" s="10" t="n"/>
      <c r="J185" s="5" t="n"/>
    </row>
    <row r="186" ht="36" customHeight="1">
      <c r="A186" s="5" t="n"/>
      <c r="B186" s="5" t="n"/>
      <c r="C186" s="10" t="n"/>
      <c r="D186" s="5" t="n"/>
      <c r="E186" s="5" t="n"/>
      <c r="F186" s="5" t="n"/>
      <c r="G186" s="5" t="n"/>
      <c r="H186" s="10" t="n"/>
      <c r="I186" s="10" t="n"/>
      <c r="J186" s="5" t="n"/>
    </row>
    <row r="187" ht="36" customHeight="1">
      <c r="A187" s="5" t="n"/>
      <c r="B187" s="5" t="n"/>
      <c r="C187" s="10" t="n"/>
      <c r="D187" s="5" t="n"/>
      <c r="E187" s="5" t="n"/>
      <c r="F187" s="5" t="n"/>
      <c r="G187" s="5" t="n"/>
      <c r="H187" s="10" t="n"/>
      <c r="I187" s="10" t="n"/>
      <c r="J187" s="5" t="n"/>
    </row>
    <row r="188" ht="36" customHeight="1">
      <c r="A188" s="5" t="n"/>
      <c r="B188" s="5" t="n"/>
      <c r="C188" s="10" t="n"/>
      <c r="D188" s="5" t="n"/>
      <c r="E188" s="5" t="n"/>
      <c r="F188" s="5" t="n"/>
      <c r="G188" s="5" t="n"/>
      <c r="H188" s="10" t="n"/>
      <c r="I188" s="10" t="n"/>
      <c r="J188" s="5" t="n"/>
    </row>
    <row r="189" ht="36" customHeight="1">
      <c r="A189" s="5" t="n"/>
      <c r="B189" s="5" t="n"/>
      <c r="C189" s="10" t="n"/>
      <c r="D189" s="5" t="n"/>
      <c r="E189" s="5" t="n"/>
      <c r="F189" s="5" t="n"/>
      <c r="G189" s="5" t="n"/>
      <c r="H189" s="10" t="n"/>
      <c r="I189" s="10" t="n"/>
      <c r="J189" s="5" t="n"/>
    </row>
    <row r="190" ht="36" customHeight="1">
      <c r="A190" s="5" t="n"/>
      <c r="B190" s="5" t="n"/>
      <c r="C190" s="10" t="n"/>
      <c r="D190" s="5" t="n"/>
      <c r="E190" s="5" t="n"/>
      <c r="F190" s="5" t="n"/>
      <c r="G190" s="5" t="n"/>
      <c r="H190" s="10" t="n"/>
      <c r="I190" s="10" t="n"/>
      <c r="J190" s="5" t="n"/>
    </row>
    <row r="191" ht="36" customHeight="1">
      <c r="A191" s="5" t="n"/>
      <c r="B191" s="5" t="n"/>
      <c r="C191" s="10" t="n"/>
      <c r="D191" s="5" t="n"/>
      <c r="E191" s="5" t="n"/>
      <c r="F191" s="5" t="n"/>
      <c r="G191" s="5" t="n"/>
      <c r="H191" s="10" t="n"/>
      <c r="I191" s="10" t="n"/>
      <c r="J191" s="5" t="n"/>
    </row>
    <row r="192" ht="36" customHeight="1">
      <c r="A192" s="5" t="n"/>
      <c r="B192" s="5" t="n"/>
      <c r="C192" s="10" t="n"/>
      <c r="D192" s="5" t="n"/>
      <c r="E192" s="5" t="n"/>
      <c r="F192" s="5" t="n"/>
      <c r="G192" s="5" t="n"/>
      <c r="H192" s="10" t="n"/>
      <c r="I192" s="10" t="n"/>
      <c r="J192" s="5" t="n"/>
    </row>
    <row r="193" ht="36" customHeight="1">
      <c r="A193" s="5" t="n"/>
      <c r="B193" s="5" t="n"/>
      <c r="C193" s="10" t="n"/>
      <c r="D193" s="5" t="n"/>
      <c r="E193" s="5" t="n"/>
      <c r="F193" s="5" t="n"/>
      <c r="G193" s="5" t="n"/>
      <c r="H193" s="10" t="n"/>
      <c r="I193" s="10" t="n"/>
      <c r="J193" s="5" t="n"/>
    </row>
    <row r="194" ht="36" customHeight="1">
      <c r="A194" s="5" t="n"/>
      <c r="B194" s="5" t="n"/>
      <c r="C194" s="10" t="n"/>
      <c r="D194" s="5" t="n"/>
      <c r="E194" s="5" t="n"/>
      <c r="F194" s="5" t="n"/>
      <c r="G194" s="5" t="n"/>
      <c r="H194" s="10" t="n"/>
      <c r="I194" s="10" t="n"/>
      <c r="J194" s="5" t="n"/>
    </row>
    <row r="195" ht="36" customHeight="1">
      <c r="A195" s="5" t="n"/>
      <c r="B195" s="5" t="n"/>
      <c r="C195" s="10" t="n"/>
      <c r="D195" s="5" t="n"/>
      <c r="E195" s="5" t="n"/>
      <c r="F195" s="5" t="n"/>
      <c r="G195" s="5" t="n"/>
      <c r="H195" s="10" t="n"/>
      <c r="I195" s="10" t="n"/>
      <c r="J195" s="5" t="n"/>
    </row>
    <row r="196" ht="36" customHeight="1">
      <c r="A196" s="5" t="n"/>
      <c r="B196" s="5" t="n"/>
      <c r="C196" s="10" t="n"/>
      <c r="D196" s="5" t="n"/>
      <c r="E196" s="5" t="n"/>
      <c r="F196" s="5" t="n"/>
      <c r="G196" s="5" t="n"/>
      <c r="H196" s="10" t="n"/>
      <c r="I196" s="10" t="n"/>
      <c r="J196" s="5" t="n"/>
    </row>
    <row r="197" ht="36" customHeight="1">
      <c r="A197" s="5" t="n"/>
      <c r="B197" s="5" t="n"/>
      <c r="C197" s="10" t="n"/>
      <c r="D197" s="5" t="n"/>
      <c r="E197" s="5" t="n"/>
      <c r="F197" s="5" t="n"/>
      <c r="G197" s="5" t="n"/>
      <c r="H197" s="10" t="n"/>
      <c r="I197" s="10" t="n"/>
      <c r="J197" s="5" t="n"/>
    </row>
    <row r="198" ht="36" customHeight="1">
      <c r="A198" s="5" t="n"/>
      <c r="B198" s="5" t="n"/>
      <c r="C198" s="10" t="n"/>
      <c r="D198" s="5" t="n"/>
      <c r="E198" s="5" t="n"/>
      <c r="F198" s="5" t="n"/>
      <c r="G198" s="5" t="n"/>
      <c r="H198" s="10" t="n"/>
      <c r="I198" s="10" t="n"/>
      <c r="J198" s="5" t="n"/>
    </row>
    <row r="199" ht="36" customHeight="1">
      <c r="A199" s="5" t="n"/>
      <c r="B199" s="5" t="n"/>
      <c r="C199" s="10" t="n"/>
      <c r="D199" s="5" t="n"/>
      <c r="E199" s="5" t="n"/>
      <c r="F199" s="5" t="n"/>
      <c r="G199" s="5" t="n"/>
      <c r="H199" s="10" t="n"/>
      <c r="I199" s="10" t="n"/>
      <c r="J199" s="5" t="n"/>
    </row>
    <row r="200" ht="36" customHeight="1">
      <c r="A200" s="5" t="n"/>
      <c r="B200" s="5" t="n"/>
      <c r="C200" s="10" t="n"/>
      <c r="D200" s="5" t="n"/>
      <c r="E200" s="5" t="n"/>
      <c r="F200" s="5" t="n"/>
      <c r="G200" s="5" t="n"/>
      <c r="H200" s="10" t="n"/>
      <c r="I200" s="10" t="n"/>
      <c r="J200" s="5" t="n"/>
    </row>
    <row r="201" ht="36" customHeight="1">
      <c r="A201" s="5" t="n"/>
      <c r="B201" s="5" t="n"/>
      <c r="C201" s="10" t="n"/>
      <c r="D201" s="5" t="n"/>
      <c r="E201" s="5" t="n"/>
      <c r="F201" s="5" t="n"/>
      <c r="G201" s="5" t="n"/>
      <c r="H201" s="10" t="n"/>
      <c r="I201" s="10" t="n"/>
      <c r="J201" s="5" t="n"/>
    </row>
    <row r="202" ht="36" customHeight="1">
      <c r="A202" s="5" t="n"/>
      <c r="B202" s="5" t="n"/>
      <c r="C202" s="10" t="n"/>
      <c r="D202" s="5" t="n"/>
      <c r="E202" s="5" t="n"/>
      <c r="F202" s="5" t="n"/>
      <c r="G202" s="5" t="n"/>
      <c r="H202" s="10" t="n"/>
      <c r="I202" s="10" t="n"/>
      <c r="J202" s="5" t="n"/>
    </row>
    <row r="203" ht="36" customHeight="1">
      <c r="A203" s="5" t="n"/>
      <c r="B203" s="5" t="n"/>
      <c r="C203" s="10" t="n"/>
      <c r="D203" s="5" t="n"/>
      <c r="E203" s="5" t="n"/>
      <c r="F203" s="5" t="n"/>
      <c r="G203" s="5" t="n"/>
      <c r="H203" s="10" t="n"/>
      <c r="I203" s="10" t="n"/>
      <c r="J203" s="5" t="n"/>
    </row>
    <row r="204" ht="36" customHeight="1">
      <c r="A204" s="5" t="n"/>
      <c r="B204" s="5" t="n"/>
      <c r="C204" s="10" t="n"/>
      <c r="D204" s="5" t="n"/>
      <c r="E204" s="5" t="n"/>
      <c r="F204" s="5" t="n"/>
      <c r="G204" s="5" t="n"/>
      <c r="H204" s="10" t="n"/>
      <c r="I204" s="10" t="n"/>
      <c r="J204" s="5" t="n"/>
    </row>
    <row r="205" ht="36" customHeight="1">
      <c r="A205" s="5" t="n"/>
      <c r="B205" s="5" t="n"/>
      <c r="C205" s="10" t="n"/>
      <c r="D205" s="5" t="n"/>
      <c r="E205" s="5" t="n"/>
      <c r="F205" s="5" t="n"/>
      <c r="G205" s="5" t="n"/>
      <c r="H205" s="10" t="n"/>
      <c r="I205" s="10" t="n"/>
      <c r="J205" s="5" t="n"/>
    </row>
    <row r="206" ht="36" customHeight="1">
      <c r="A206" s="5" t="n"/>
      <c r="B206" s="5" t="n"/>
      <c r="C206" s="10" t="n"/>
      <c r="D206" s="5" t="n"/>
      <c r="E206" s="5" t="n"/>
      <c r="F206" s="5" t="n"/>
      <c r="G206" s="5" t="n"/>
      <c r="H206" s="10" t="n"/>
      <c r="I206" s="10" t="n"/>
      <c r="J206" s="5" t="n"/>
    </row>
    <row r="207" ht="36" customHeight="1">
      <c r="A207" s="5" t="n"/>
      <c r="B207" s="5" t="n"/>
      <c r="C207" s="10" t="n"/>
      <c r="D207" s="5" t="n"/>
      <c r="E207" s="5" t="n"/>
      <c r="F207" s="5" t="n"/>
      <c r="G207" s="5" t="n"/>
      <c r="H207" s="10" t="n"/>
      <c r="I207" s="10" t="n"/>
      <c r="J207" s="5" t="n"/>
    </row>
    <row r="208" ht="36" customHeight="1">
      <c r="A208" s="5" t="n"/>
      <c r="B208" s="5" t="n"/>
      <c r="C208" s="10" t="n"/>
      <c r="D208" s="5" t="n"/>
      <c r="E208" s="5" t="n"/>
      <c r="F208" s="5" t="n"/>
      <c r="G208" s="5" t="n"/>
      <c r="H208" s="10" t="n"/>
      <c r="I208" s="10" t="n"/>
      <c r="J208" s="5" t="n"/>
    </row>
    <row r="209" ht="36" customHeight="1">
      <c r="A209" s="5" t="n"/>
      <c r="B209" s="5" t="n"/>
      <c r="C209" s="10" t="n"/>
      <c r="D209" s="5" t="n"/>
      <c r="E209" s="5" t="n"/>
      <c r="F209" s="5" t="n"/>
      <c r="G209" s="5" t="n"/>
      <c r="H209" s="10" t="n"/>
      <c r="I209" s="10" t="n"/>
      <c r="J209" s="5" t="n"/>
    </row>
    <row r="210" ht="36" customHeight="1">
      <c r="A210" s="5" t="n"/>
      <c r="B210" s="5" t="n"/>
      <c r="C210" s="10" t="n"/>
      <c r="D210" s="5" t="n"/>
      <c r="E210" s="5" t="n"/>
      <c r="F210" s="5" t="n"/>
      <c r="G210" s="5" t="n"/>
      <c r="H210" s="10" t="n"/>
      <c r="I210" s="10" t="n"/>
      <c r="J210" s="5" t="n"/>
    </row>
    <row r="211" ht="36" customHeight="1">
      <c r="A211" s="5" t="n"/>
      <c r="B211" s="5" t="n"/>
      <c r="C211" s="10" t="n"/>
      <c r="D211" s="5" t="n"/>
      <c r="E211" s="5" t="n"/>
      <c r="F211" s="5" t="n"/>
      <c r="G211" s="5" t="n"/>
      <c r="H211" s="10" t="n"/>
      <c r="I211" s="10" t="n"/>
      <c r="J211" s="5" t="n"/>
    </row>
    <row r="212" ht="36" customHeight="1">
      <c r="A212" s="5" t="n"/>
      <c r="B212" s="5" t="n"/>
      <c r="C212" s="10" t="n"/>
      <c r="D212" s="5" t="n"/>
      <c r="E212" s="5" t="n"/>
      <c r="F212" s="5" t="n"/>
      <c r="G212" s="5" t="n"/>
      <c r="H212" s="10" t="n"/>
      <c r="I212" s="10" t="n"/>
      <c r="J212" s="5" t="n"/>
    </row>
    <row r="213" ht="36" customHeight="1">
      <c r="A213" s="5" t="n"/>
      <c r="B213" s="5" t="n"/>
      <c r="C213" s="10" t="n"/>
      <c r="D213" s="5" t="n"/>
      <c r="E213" s="5" t="n"/>
      <c r="F213" s="5" t="n"/>
      <c r="G213" s="5" t="n"/>
      <c r="H213" s="10" t="n"/>
      <c r="I213" s="10" t="n"/>
      <c r="J213" s="5" t="n"/>
    </row>
    <row r="214" ht="36" customHeight="1">
      <c r="A214" s="5" t="n"/>
      <c r="B214" s="5" t="n"/>
      <c r="C214" s="10" t="n"/>
      <c r="D214" s="5" t="n"/>
      <c r="E214" s="5" t="n"/>
      <c r="F214" s="5" t="n"/>
      <c r="G214" s="5" t="n"/>
      <c r="H214" s="10" t="n"/>
      <c r="I214" s="10" t="n"/>
      <c r="J214" s="5" t="n"/>
    </row>
    <row r="215" ht="36" customHeight="1">
      <c r="A215" s="5" t="n"/>
      <c r="B215" s="5" t="n"/>
      <c r="C215" s="10" t="n"/>
      <c r="D215" s="5" t="n"/>
      <c r="E215" s="5" t="n"/>
      <c r="F215" s="5" t="n"/>
      <c r="G215" s="5" t="n"/>
      <c r="H215" s="10" t="n"/>
      <c r="I215" s="10" t="n"/>
      <c r="J215" s="5" t="n"/>
    </row>
    <row r="216" ht="36" customHeight="1">
      <c r="A216" s="5" t="n"/>
      <c r="B216" s="5" t="n"/>
      <c r="C216" s="10" t="n"/>
      <c r="D216" s="5" t="n"/>
      <c r="E216" s="5" t="n"/>
      <c r="F216" s="5" t="n"/>
      <c r="G216" s="5" t="n"/>
      <c r="H216" s="10" t="n"/>
      <c r="I216" s="10" t="n"/>
      <c r="J216" s="5" t="n"/>
    </row>
    <row r="217" ht="36" customHeight="1">
      <c r="A217" s="5" t="n"/>
      <c r="B217" s="5" t="n"/>
      <c r="C217" s="10" t="n"/>
      <c r="D217" s="5" t="n"/>
      <c r="E217" s="5" t="n"/>
      <c r="F217" s="5" t="n"/>
      <c r="G217" s="5" t="n"/>
      <c r="H217" s="10" t="n"/>
      <c r="I217" s="10" t="n"/>
      <c r="J217" s="5" t="n"/>
    </row>
    <row r="218" ht="36" customHeight="1">
      <c r="A218" s="5" t="n"/>
      <c r="B218" s="5" t="n"/>
      <c r="C218" s="10" t="n"/>
      <c r="D218" s="5" t="n"/>
      <c r="E218" s="5" t="n"/>
      <c r="F218" s="5" t="n"/>
      <c r="G218" s="5" t="n"/>
      <c r="H218" s="10" t="n"/>
      <c r="I218" s="10" t="n"/>
      <c r="J218" s="5" t="n"/>
    </row>
    <row r="219" ht="36" customHeight="1">
      <c r="A219" s="5" t="n"/>
      <c r="B219" s="5" t="n"/>
      <c r="C219" s="10" t="n"/>
      <c r="D219" s="5" t="n"/>
      <c r="E219" s="5" t="n"/>
      <c r="F219" s="5" t="n"/>
      <c r="G219" s="5" t="n"/>
      <c r="H219" s="10" t="n"/>
      <c r="I219" s="10" t="n"/>
      <c r="J219" s="5" t="n"/>
    </row>
    <row r="220" ht="36" customHeight="1">
      <c r="A220" s="5" t="n"/>
      <c r="B220" s="5" t="n"/>
      <c r="C220" s="10" t="n"/>
      <c r="D220" s="5" t="n"/>
      <c r="E220" s="5" t="n"/>
      <c r="F220" s="5" t="n"/>
      <c r="G220" s="5" t="n"/>
      <c r="H220" s="10" t="n"/>
      <c r="I220" s="10" t="n"/>
      <c r="J220" s="5" t="n"/>
    </row>
    <row r="221" ht="36" customHeight="1">
      <c r="A221" s="5" t="n"/>
      <c r="B221" s="5" t="n"/>
      <c r="C221" s="10" t="n"/>
      <c r="D221" s="5" t="n"/>
      <c r="E221" s="5" t="n"/>
      <c r="F221" s="5" t="n"/>
      <c r="G221" s="5" t="n"/>
      <c r="H221" s="10" t="n"/>
      <c r="I221" s="10" t="n"/>
      <c r="J221" s="5" t="n"/>
    </row>
    <row r="222" ht="36" customHeight="1">
      <c r="A222" s="5" t="n"/>
      <c r="B222" s="5" t="n"/>
      <c r="C222" s="10" t="n"/>
      <c r="D222" s="5" t="n"/>
      <c r="E222" s="5" t="n"/>
      <c r="F222" s="5" t="n"/>
      <c r="G222" s="5" t="n"/>
      <c r="H222" s="10" t="n"/>
      <c r="I222" s="10" t="n"/>
      <c r="J222" s="5" t="n"/>
    </row>
    <row r="223" ht="36" customHeight="1">
      <c r="A223" s="5" t="n"/>
      <c r="B223" s="5" t="n"/>
      <c r="C223" s="10" t="n"/>
      <c r="D223" s="5" t="n"/>
      <c r="E223" s="5" t="n"/>
      <c r="F223" s="5" t="n"/>
      <c r="G223" s="5" t="n"/>
      <c r="H223" s="10" t="n"/>
      <c r="I223" s="10" t="n"/>
      <c r="J223" s="5" t="n"/>
    </row>
    <row r="224" ht="36" customHeight="1">
      <c r="A224" s="5" t="n"/>
      <c r="B224" s="5" t="n"/>
      <c r="C224" s="10" t="n"/>
      <c r="D224" s="5" t="n"/>
      <c r="E224" s="5" t="n"/>
      <c r="F224" s="5" t="n"/>
      <c r="G224" s="5" t="n"/>
      <c r="H224" s="10" t="n"/>
      <c r="I224" s="10" t="n"/>
      <c r="J224" s="5" t="n"/>
    </row>
    <row r="225" ht="36" customHeight="1">
      <c r="A225" s="5" t="n"/>
      <c r="B225" s="5" t="n"/>
      <c r="C225" s="10" t="n"/>
      <c r="D225" s="5" t="n"/>
      <c r="E225" s="5" t="n"/>
      <c r="F225" s="5" t="n"/>
      <c r="G225" s="5" t="n"/>
      <c r="H225" s="10" t="n"/>
      <c r="I225" s="10" t="n"/>
      <c r="J225" s="5" t="n"/>
    </row>
    <row r="226" ht="36" customHeight="1">
      <c r="A226" s="5" t="n"/>
      <c r="B226" s="5" t="n"/>
      <c r="C226" s="10" t="n"/>
      <c r="D226" s="5" t="n"/>
      <c r="E226" s="5" t="n"/>
      <c r="F226" s="5" t="n"/>
      <c r="G226" s="5" t="n"/>
      <c r="H226" s="10" t="n"/>
      <c r="I226" s="10" t="n"/>
      <c r="J226" s="5" t="n"/>
    </row>
    <row r="227" ht="36" customHeight="1">
      <c r="A227" s="5" t="n"/>
      <c r="B227" s="5" t="n"/>
      <c r="C227" s="10" t="n"/>
      <c r="D227" s="5" t="n"/>
      <c r="E227" s="5" t="n"/>
      <c r="F227" s="5" t="n"/>
      <c r="G227" s="5" t="n"/>
      <c r="H227" s="10" t="n"/>
      <c r="I227" s="10" t="n"/>
      <c r="J227" s="5" t="n"/>
    </row>
    <row r="228" ht="36" customHeight="1">
      <c r="A228" s="5" t="n"/>
      <c r="B228" s="5" t="n"/>
      <c r="C228" s="10" t="n"/>
      <c r="D228" s="5" t="n"/>
      <c r="E228" s="5" t="n"/>
      <c r="F228" s="5" t="n"/>
      <c r="G228" s="5" t="n"/>
      <c r="H228" s="10" t="n"/>
      <c r="I228" s="10" t="n"/>
      <c r="J228" s="5" t="n"/>
    </row>
    <row r="229" ht="36" customHeight="1">
      <c r="A229" s="5" t="n"/>
      <c r="B229" s="5" t="n"/>
      <c r="C229" s="10" t="n"/>
      <c r="D229" s="5" t="n"/>
      <c r="E229" s="5" t="n"/>
      <c r="F229" s="5" t="n"/>
      <c r="G229" s="5" t="n"/>
      <c r="H229" s="10" t="n"/>
      <c r="I229" s="10" t="n"/>
      <c r="J229" s="5" t="n"/>
    </row>
    <row r="230" ht="36" customHeight="1">
      <c r="A230" s="5" t="n"/>
      <c r="B230" s="5" t="n"/>
      <c r="C230" s="10" t="n"/>
      <c r="D230" s="5" t="n"/>
      <c r="E230" s="5" t="n"/>
      <c r="F230" s="5" t="n"/>
      <c r="G230" s="5" t="n"/>
      <c r="H230" s="10" t="n"/>
      <c r="I230" s="10" t="n"/>
      <c r="J230" s="5" t="n"/>
    </row>
    <row r="231" ht="36" customHeight="1">
      <c r="A231" s="5" t="n"/>
      <c r="B231" s="5" t="n"/>
      <c r="C231" s="10" t="n"/>
      <c r="D231" s="5" t="n"/>
      <c r="E231" s="5" t="n"/>
      <c r="F231" s="5" t="n"/>
      <c r="G231" s="5" t="n"/>
      <c r="H231" s="10" t="n"/>
      <c r="I231" s="10" t="n"/>
      <c r="J231" s="5" t="n"/>
    </row>
    <row r="232" ht="36" customHeight="1">
      <c r="A232" s="5" t="n"/>
      <c r="B232" s="5" t="n"/>
      <c r="C232" s="10" t="n"/>
      <c r="D232" s="5" t="n"/>
      <c r="E232" s="5" t="n"/>
      <c r="F232" s="5" t="n"/>
      <c r="G232" s="5" t="n"/>
      <c r="H232" s="10" t="n"/>
      <c r="I232" s="10" t="n"/>
      <c r="J232" s="5" t="n"/>
    </row>
    <row r="233" ht="36" customHeight="1">
      <c r="A233" s="5" t="n"/>
      <c r="B233" s="5" t="n"/>
      <c r="C233" s="10" t="n"/>
      <c r="D233" s="5" t="n"/>
      <c r="E233" s="5" t="n"/>
      <c r="F233" s="5" t="n"/>
      <c r="G233" s="5" t="n"/>
      <c r="H233" s="10" t="n"/>
      <c r="I233" s="10" t="n"/>
      <c r="J233" s="5" t="n"/>
    </row>
    <row r="234" ht="36" customHeight="1">
      <c r="A234" s="5" t="n"/>
      <c r="B234" s="5" t="n"/>
      <c r="C234" s="10" t="n"/>
      <c r="D234" s="5" t="n"/>
      <c r="E234" s="5" t="n"/>
      <c r="F234" s="5" t="n"/>
      <c r="G234" s="5" t="n"/>
      <c r="H234" s="10" t="n"/>
      <c r="I234" s="10" t="n"/>
      <c r="J234" s="5" t="n"/>
    </row>
    <row r="235" ht="36" customHeight="1">
      <c r="A235" s="5" t="n"/>
      <c r="B235" s="5" t="n"/>
      <c r="C235" s="10" t="n"/>
      <c r="D235" s="5" t="n"/>
      <c r="E235" s="5" t="n"/>
      <c r="F235" s="5" t="n"/>
      <c r="G235" s="5" t="n"/>
      <c r="H235" s="10" t="n"/>
      <c r="I235" s="10" t="n"/>
      <c r="J235" s="5" t="n"/>
    </row>
    <row r="236" ht="36" customHeight="1">
      <c r="A236" s="5" t="n"/>
      <c r="B236" s="5" t="n"/>
      <c r="C236" s="10" t="n"/>
      <c r="D236" s="5" t="n"/>
      <c r="E236" s="5" t="n"/>
      <c r="F236" s="5" t="n"/>
      <c r="G236" s="5" t="n"/>
      <c r="H236" s="10" t="n"/>
      <c r="I236" s="10" t="n"/>
      <c r="J236" s="5" t="n"/>
    </row>
    <row r="237" ht="36" customHeight="1">
      <c r="A237" s="5" t="n"/>
      <c r="B237" s="5" t="n"/>
      <c r="C237" s="10" t="n"/>
      <c r="D237" s="5" t="n"/>
      <c r="E237" s="5" t="n"/>
      <c r="F237" s="5" t="n"/>
      <c r="G237" s="5" t="n"/>
      <c r="H237" s="10" t="n"/>
      <c r="I237" s="10" t="n"/>
      <c r="J237" s="5" t="n"/>
    </row>
    <row r="238" ht="36" customHeight="1">
      <c r="A238" s="5" t="n"/>
      <c r="B238" s="5" t="n"/>
      <c r="C238" s="10" t="n"/>
      <c r="D238" s="5" t="n"/>
      <c r="E238" s="5" t="n"/>
      <c r="F238" s="5" t="n"/>
      <c r="G238" s="5" t="n"/>
      <c r="H238" s="10" t="n"/>
      <c r="I238" s="10" t="n"/>
      <c r="J238" s="5" t="n"/>
    </row>
    <row r="239" ht="36" customHeight="1">
      <c r="A239" s="5" t="n"/>
      <c r="B239" s="5" t="n"/>
      <c r="C239" s="10" t="n"/>
      <c r="D239" s="5" t="n"/>
      <c r="E239" s="5" t="n"/>
      <c r="F239" s="5" t="n"/>
      <c r="G239" s="5" t="n"/>
      <c r="H239" s="10" t="n"/>
      <c r="I239" s="10" t="n"/>
      <c r="J239" s="5" t="n"/>
    </row>
    <row r="240" ht="36" customHeight="1">
      <c r="A240" s="5" t="n"/>
      <c r="B240" s="5" t="n"/>
      <c r="C240" s="10" t="n"/>
      <c r="D240" s="5" t="n"/>
      <c r="E240" s="5" t="n"/>
      <c r="F240" s="5" t="n"/>
      <c r="G240" s="5" t="n"/>
      <c r="H240" s="10" t="n"/>
      <c r="I240" s="10" t="n"/>
      <c r="J240" s="5" t="n"/>
    </row>
    <row r="241" ht="36" customHeight="1">
      <c r="A241" s="5" t="n"/>
      <c r="B241" s="5" t="n"/>
      <c r="C241" s="10" t="n"/>
      <c r="D241" s="5" t="n"/>
      <c r="E241" s="5" t="n"/>
      <c r="F241" s="5" t="n"/>
      <c r="G241" s="5" t="n"/>
      <c r="H241" s="10" t="n"/>
      <c r="I241" s="10" t="n"/>
      <c r="J241" s="5" t="n"/>
    </row>
    <row r="242" ht="36" customHeight="1">
      <c r="A242" s="5" t="n"/>
      <c r="B242" s="5" t="n"/>
      <c r="C242" s="10" t="n"/>
      <c r="D242" s="5" t="n"/>
      <c r="E242" s="5" t="n"/>
      <c r="F242" s="5" t="n"/>
      <c r="G242" s="5" t="n"/>
      <c r="H242" s="10" t="n"/>
      <c r="I242" s="10" t="n"/>
      <c r="J242" s="5" t="n"/>
    </row>
    <row r="243" ht="36" customHeight="1">
      <c r="A243" s="5" t="n"/>
      <c r="B243" s="5" t="n"/>
      <c r="C243" s="10" t="n"/>
      <c r="D243" s="5" t="n"/>
      <c r="E243" s="5" t="n"/>
      <c r="F243" s="5" t="n"/>
      <c r="G243" s="5" t="n"/>
      <c r="H243" s="10" t="n"/>
      <c r="I243" s="10" t="n"/>
      <c r="J243" s="5" t="n"/>
    </row>
    <row r="244" ht="36" customHeight="1">
      <c r="A244" s="5" t="n"/>
      <c r="B244" s="5" t="n"/>
      <c r="C244" s="10" t="n"/>
      <c r="D244" s="5" t="n"/>
      <c r="E244" s="5" t="n"/>
      <c r="F244" s="5" t="n"/>
      <c r="G244" s="5" t="n"/>
      <c r="H244" s="10" t="n"/>
      <c r="I244" s="10" t="n"/>
      <c r="J244" s="5" t="n"/>
    </row>
    <row r="245" ht="36" customHeight="1">
      <c r="A245" s="5" t="n"/>
      <c r="B245" s="5" t="n"/>
      <c r="C245" s="10" t="n"/>
      <c r="D245" s="5" t="n"/>
      <c r="E245" s="5" t="n"/>
      <c r="F245" s="5" t="n"/>
      <c r="G245" s="5" t="n"/>
      <c r="H245" s="10" t="n"/>
      <c r="I245" s="10" t="n"/>
      <c r="J245" s="5" t="n"/>
    </row>
    <row r="246" ht="36" customHeight="1">
      <c r="A246" s="5" t="n"/>
      <c r="B246" s="5" t="n"/>
      <c r="C246" s="10" t="n"/>
      <c r="D246" s="5" t="n"/>
      <c r="E246" s="5" t="n"/>
      <c r="F246" s="5" t="n"/>
      <c r="G246" s="5" t="n"/>
      <c r="H246" s="10" t="n"/>
      <c r="I246" s="10" t="n"/>
      <c r="J246" s="5" t="n"/>
    </row>
    <row r="247" ht="36" customHeight="1">
      <c r="A247" s="5" t="n"/>
      <c r="B247" s="5" t="n"/>
      <c r="C247" s="10" t="n"/>
      <c r="D247" s="5" t="n"/>
      <c r="E247" s="5" t="n"/>
      <c r="F247" s="5" t="n"/>
      <c r="G247" s="5" t="n"/>
      <c r="H247" s="10" t="n"/>
      <c r="I247" s="10" t="n"/>
      <c r="J247" s="5" t="n"/>
    </row>
    <row r="248" ht="36" customHeight="1">
      <c r="A248" s="5" t="n"/>
      <c r="B248" s="5" t="n"/>
      <c r="C248" s="10" t="n"/>
      <c r="D248" s="5" t="n"/>
      <c r="E248" s="5" t="n"/>
      <c r="F248" s="5" t="n"/>
      <c r="G248" s="5" t="n"/>
      <c r="H248" s="10" t="n"/>
      <c r="I248" s="10" t="n"/>
      <c r="J248" s="5" t="n"/>
    </row>
    <row r="249" ht="36" customHeight="1">
      <c r="A249" s="5" t="n"/>
      <c r="B249" s="5" t="n"/>
      <c r="C249" s="10" t="n"/>
      <c r="D249" s="5" t="n"/>
      <c r="E249" s="5" t="n"/>
      <c r="F249" s="5" t="n"/>
      <c r="G249" s="5" t="n"/>
      <c r="H249" s="10" t="n"/>
      <c r="I249" s="10" t="n"/>
      <c r="J249" s="5" t="n"/>
    </row>
    <row r="250" ht="36" customHeight="1">
      <c r="A250" s="5" t="n"/>
      <c r="B250" s="5" t="n"/>
      <c r="C250" s="10" t="n"/>
      <c r="D250" s="5" t="n"/>
      <c r="E250" s="5" t="n"/>
      <c r="F250" s="5" t="n"/>
      <c r="G250" s="5" t="n"/>
      <c r="H250" s="10" t="n"/>
      <c r="I250" s="10" t="n"/>
      <c r="J250" s="5" t="n"/>
    </row>
    <row r="251" ht="36" customHeight="1">
      <c r="A251" s="5" t="n"/>
      <c r="B251" s="5" t="n"/>
      <c r="C251" s="10" t="n"/>
      <c r="D251" s="5" t="n"/>
      <c r="E251" s="5" t="n"/>
      <c r="F251" s="5" t="n"/>
      <c r="G251" s="5" t="n"/>
      <c r="H251" s="10" t="n"/>
      <c r="I251" s="10" t="n"/>
      <c r="J251" s="5" t="n"/>
    </row>
    <row r="252" ht="36" customHeight="1">
      <c r="A252" s="5" t="n"/>
      <c r="B252" s="5" t="n"/>
      <c r="C252" s="10" t="n"/>
      <c r="D252" s="5" t="n"/>
      <c r="E252" s="5" t="n"/>
      <c r="F252" s="5" t="n"/>
      <c r="G252" s="5" t="n"/>
      <c r="H252" s="10" t="n"/>
      <c r="I252" s="10" t="n"/>
      <c r="J252" s="5" t="n"/>
    </row>
    <row r="253" ht="36" customHeight="1">
      <c r="A253" s="5" t="n"/>
      <c r="B253" s="5" t="n"/>
      <c r="C253" s="10" t="n"/>
      <c r="D253" s="5" t="n"/>
      <c r="E253" s="5" t="n"/>
      <c r="F253" s="5" t="n"/>
      <c r="G253" s="5" t="n"/>
      <c r="H253" s="10" t="n"/>
      <c r="I253" s="10" t="n"/>
      <c r="J253" s="5" t="n"/>
    </row>
    <row r="254" ht="36" customHeight="1">
      <c r="A254" s="5" t="n"/>
      <c r="B254" s="5" t="n"/>
      <c r="C254" s="10" t="n"/>
      <c r="D254" s="5" t="n"/>
      <c r="E254" s="5" t="n"/>
      <c r="F254" s="5" t="n"/>
      <c r="G254" s="5" t="n"/>
      <c r="H254" s="10" t="n"/>
      <c r="I254" s="10" t="n"/>
      <c r="J254" s="5" t="n"/>
    </row>
    <row r="255" ht="36" customHeight="1">
      <c r="A255" s="5" t="n"/>
      <c r="B255" s="5" t="n"/>
      <c r="C255" s="10" t="n"/>
      <c r="D255" s="5" t="n"/>
      <c r="E255" s="5" t="n"/>
      <c r="F255" s="5" t="n"/>
      <c r="G255" s="5" t="n"/>
      <c r="H255" s="10" t="n"/>
      <c r="I255" s="10" t="n"/>
      <c r="J255" s="5" t="n"/>
    </row>
    <row r="256" ht="36" customHeight="1">
      <c r="A256" s="5" t="n"/>
      <c r="B256" s="5" t="n"/>
      <c r="C256" s="10" t="n"/>
      <c r="D256" s="5" t="n"/>
      <c r="E256" s="5" t="n"/>
      <c r="F256" s="5" t="n"/>
      <c r="G256" s="5" t="n"/>
      <c r="H256" s="10" t="n"/>
      <c r="I256" s="10" t="n"/>
      <c r="J256" s="5" t="n"/>
    </row>
    <row r="257" ht="36" customHeight="1">
      <c r="A257" s="5" t="n"/>
      <c r="B257" s="5" t="n"/>
      <c r="C257" s="10" t="n"/>
      <c r="D257" s="5" t="n"/>
      <c r="E257" s="5" t="n"/>
      <c r="F257" s="5" t="n"/>
      <c r="G257" s="5" t="n"/>
      <c r="H257" s="10" t="n"/>
      <c r="I257" s="10" t="n"/>
      <c r="J257" s="5" t="n"/>
    </row>
    <row r="258" ht="36" customHeight="1">
      <c r="A258" s="5" t="n"/>
      <c r="B258" s="5" t="n"/>
      <c r="C258" s="10" t="n"/>
      <c r="D258" s="5" t="n"/>
      <c r="E258" s="5" t="n"/>
      <c r="F258" s="5" t="n"/>
      <c r="G258" s="5" t="n"/>
      <c r="H258" s="10" t="n"/>
      <c r="I258" s="10" t="n"/>
      <c r="J258" s="5" t="n"/>
    </row>
    <row r="259" ht="36" customHeight="1">
      <c r="A259" s="5" t="n"/>
      <c r="B259" s="5" t="n"/>
      <c r="C259" s="10" t="n"/>
      <c r="D259" s="5" t="n"/>
      <c r="E259" s="5" t="n"/>
      <c r="F259" s="5" t="n"/>
      <c r="G259" s="5" t="n"/>
      <c r="H259" s="10" t="n"/>
      <c r="I259" s="10" t="n"/>
      <c r="J259" s="5" t="n"/>
    </row>
    <row r="260" ht="36" customHeight="1">
      <c r="A260" s="5" t="n"/>
      <c r="B260" s="5" t="n"/>
      <c r="C260" s="10" t="n"/>
      <c r="D260" s="5" t="n"/>
      <c r="E260" s="5" t="n"/>
      <c r="F260" s="5" t="n"/>
      <c r="G260" s="5" t="n"/>
      <c r="H260" s="10" t="n"/>
      <c r="I260" s="10" t="n"/>
      <c r="J260" s="5" t="n"/>
    </row>
    <row r="261" ht="36" customHeight="1">
      <c r="A261" s="5" t="n"/>
      <c r="B261" s="5" t="n"/>
      <c r="C261" s="10" t="n"/>
      <c r="D261" s="5" t="n"/>
      <c r="E261" s="5" t="n"/>
      <c r="F261" s="5" t="n"/>
      <c r="G261" s="5" t="n"/>
      <c r="H261" s="10" t="n"/>
      <c r="I261" s="10" t="n"/>
      <c r="J261" s="5" t="n"/>
    </row>
    <row r="262" ht="36" customHeight="1">
      <c r="A262" s="5" t="n"/>
      <c r="B262" s="5" t="n"/>
      <c r="C262" s="10" t="n"/>
      <c r="D262" s="5" t="n"/>
      <c r="E262" s="5" t="n"/>
      <c r="F262" s="5" t="n"/>
      <c r="G262" s="5" t="n"/>
      <c r="H262" s="10" t="n"/>
      <c r="I262" s="10" t="n"/>
      <c r="J262" s="5" t="n"/>
    </row>
    <row r="263" ht="36" customHeight="1">
      <c r="A263" s="5" t="n"/>
      <c r="B263" s="5" t="n"/>
      <c r="C263" s="10" t="n"/>
      <c r="D263" s="5" t="n"/>
      <c r="E263" s="5" t="n"/>
      <c r="F263" s="5" t="n"/>
      <c r="G263" s="5" t="n"/>
      <c r="H263" s="10" t="n"/>
      <c r="I263" s="10" t="n"/>
      <c r="J263" s="5" t="n"/>
    </row>
    <row r="264" ht="36" customHeight="1">
      <c r="A264" s="5" t="n"/>
      <c r="B264" s="5" t="n"/>
      <c r="C264" s="10" t="n"/>
      <c r="D264" s="5" t="n"/>
      <c r="E264" s="5" t="n"/>
      <c r="F264" s="5" t="n"/>
      <c r="G264" s="5" t="n"/>
      <c r="H264" s="10" t="n"/>
      <c r="I264" s="10" t="n"/>
      <c r="J264" s="5" t="n"/>
    </row>
    <row r="265" ht="36" customHeight="1">
      <c r="A265" s="5" t="n"/>
      <c r="B265" s="5" t="n"/>
      <c r="C265" s="10" t="n"/>
      <c r="D265" s="5" t="n"/>
      <c r="E265" s="5" t="n"/>
      <c r="F265" s="5" t="n"/>
      <c r="G265" s="5" t="n"/>
      <c r="H265" s="10" t="n"/>
      <c r="I265" s="10" t="n"/>
      <c r="J265" s="5" t="n"/>
    </row>
    <row r="266" ht="36" customHeight="1">
      <c r="A266" s="5" t="n"/>
      <c r="B266" s="5" t="n"/>
      <c r="C266" s="10" t="n"/>
      <c r="D266" s="5" t="n"/>
      <c r="E266" s="5" t="n"/>
      <c r="F266" s="5" t="n"/>
      <c r="G266" s="5" t="n"/>
      <c r="H266" s="10" t="n"/>
      <c r="I266" s="10" t="n"/>
      <c r="J266" s="5" t="n"/>
    </row>
    <row r="267" ht="36" customHeight="1">
      <c r="A267" s="5" t="n"/>
      <c r="B267" s="5" t="n"/>
      <c r="C267" s="10" t="n"/>
      <c r="D267" s="5" t="n"/>
      <c r="E267" s="5" t="n"/>
      <c r="F267" s="5" t="n"/>
      <c r="G267" s="5" t="n"/>
      <c r="H267" s="10" t="n"/>
      <c r="I267" s="10" t="n"/>
      <c r="J267" s="5" t="n"/>
    </row>
    <row r="268" ht="36" customHeight="1">
      <c r="A268" s="5" t="n"/>
      <c r="B268" s="5" t="n"/>
      <c r="C268" s="10" t="n"/>
      <c r="D268" s="5" t="n"/>
      <c r="E268" s="5" t="n"/>
      <c r="F268" s="5" t="n"/>
      <c r="G268" s="5" t="n"/>
      <c r="H268" s="10" t="n"/>
      <c r="I268" s="10" t="n"/>
      <c r="J268" s="5" t="n"/>
    </row>
    <row r="269" ht="36" customHeight="1">
      <c r="A269" s="5" t="n"/>
      <c r="B269" s="5" t="n"/>
      <c r="C269" s="10" t="n"/>
      <c r="D269" s="5" t="n"/>
      <c r="E269" s="5" t="n"/>
      <c r="F269" s="5" t="n"/>
      <c r="G269" s="5" t="n"/>
      <c r="H269" s="10" t="n"/>
      <c r="I269" s="10" t="n"/>
      <c r="J269" s="5" t="n"/>
    </row>
    <row r="270" ht="36" customHeight="1">
      <c r="A270" s="5" t="n"/>
      <c r="B270" s="5" t="n"/>
      <c r="C270" s="10" t="n"/>
      <c r="D270" s="5" t="n"/>
      <c r="E270" s="5" t="n"/>
      <c r="F270" s="5" t="n"/>
      <c r="G270" s="5" t="n"/>
      <c r="H270" s="10" t="n"/>
      <c r="I270" s="10" t="n"/>
      <c r="J270" s="5" t="n"/>
    </row>
    <row r="271" ht="36" customHeight="1">
      <c r="A271" s="5" t="n"/>
      <c r="B271" s="5" t="n"/>
      <c r="C271" s="10" t="n"/>
      <c r="D271" s="5" t="n"/>
      <c r="E271" s="5" t="n"/>
      <c r="F271" s="5" t="n"/>
      <c r="G271" s="5" t="n"/>
      <c r="H271" s="10" t="n"/>
      <c r="I271" s="10" t="n"/>
      <c r="J271" s="5" t="n"/>
    </row>
    <row r="272" ht="36" customHeight="1">
      <c r="A272" s="5" t="n"/>
      <c r="B272" s="5" t="n"/>
      <c r="C272" s="10" t="n"/>
      <c r="D272" s="5" t="n"/>
      <c r="E272" s="5" t="n"/>
      <c r="F272" s="5" t="n"/>
      <c r="G272" s="5" t="n"/>
      <c r="H272" s="10" t="n"/>
      <c r="I272" s="10" t="n"/>
      <c r="J272" s="5" t="n"/>
    </row>
    <row r="273" ht="36" customHeight="1">
      <c r="A273" s="5" t="n"/>
      <c r="B273" s="5" t="n"/>
      <c r="C273" s="10" t="n"/>
      <c r="D273" s="5" t="n"/>
      <c r="E273" s="5" t="n"/>
      <c r="F273" s="5" t="n"/>
      <c r="G273" s="5" t="n"/>
      <c r="H273" s="10" t="n"/>
      <c r="I273" s="10" t="n"/>
      <c r="J273" s="5" t="n"/>
    </row>
    <row r="274" ht="36" customHeight="1">
      <c r="A274" s="5" t="n"/>
      <c r="B274" s="5" t="n"/>
      <c r="C274" s="10" t="n"/>
      <c r="D274" s="5" t="n"/>
      <c r="E274" s="5" t="n"/>
      <c r="F274" s="5" t="n"/>
      <c r="G274" s="5" t="n"/>
      <c r="H274" s="10" t="n"/>
      <c r="I274" s="10" t="n"/>
      <c r="J274" s="5" t="n"/>
    </row>
    <row r="275" ht="36" customHeight="1">
      <c r="A275" s="5" t="n"/>
      <c r="B275" s="5" t="n"/>
      <c r="C275" s="10" t="n"/>
      <c r="D275" s="5" t="n"/>
      <c r="E275" s="5" t="n"/>
      <c r="F275" s="5" t="n"/>
      <c r="G275" s="5" t="n"/>
      <c r="H275" s="10" t="n"/>
      <c r="I275" s="10" t="n"/>
      <c r="J275" s="5" t="n"/>
    </row>
    <row r="276" ht="36" customHeight="1">
      <c r="A276" s="5" t="n"/>
      <c r="B276" s="5" t="n"/>
      <c r="C276" s="10" t="n"/>
      <c r="D276" s="5" t="n"/>
      <c r="E276" s="5" t="n"/>
      <c r="F276" s="5" t="n"/>
      <c r="G276" s="5" t="n"/>
      <c r="H276" s="10" t="n"/>
      <c r="I276" s="10" t="n"/>
      <c r="J276" s="5" t="n"/>
    </row>
    <row r="277" ht="36" customHeight="1">
      <c r="A277" s="5" t="n"/>
      <c r="B277" s="5" t="n"/>
      <c r="C277" s="10" t="n"/>
      <c r="D277" s="5" t="n"/>
      <c r="E277" s="5" t="n"/>
      <c r="F277" s="5" t="n"/>
      <c r="G277" s="5" t="n"/>
      <c r="H277" s="10" t="n"/>
      <c r="I277" s="10" t="n"/>
      <c r="J277" s="5" t="n"/>
    </row>
    <row r="278" ht="36" customHeight="1">
      <c r="A278" s="5" t="n"/>
      <c r="B278" s="5" t="n"/>
      <c r="C278" s="10" t="n"/>
      <c r="D278" s="5" t="n"/>
      <c r="E278" s="5" t="n"/>
      <c r="F278" s="5" t="n"/>
      <c r="G278" s="5" t="n"/>
      <c r="H278" s="10" t="n"/>
      <c r="I278" s="10" t="n"/>
      <c r="J278" s="5" t="n"/>
    </row>
    <row r="279" ht="36" customHeight="1">
      <c r="A279" s="5" t="n"/>
      <c r="B279" s="5" t="n"/>
      <c r="C279" s="10" t="n"/>
      <c r="D279" s="5" t="n"/>
      <c r="E279" s="5" t="n"/>
      <c r="F279" s="5" t="n"/>
      <c r="G279" s="5" t="n"/>
      <c r="H279" s="10" t="n"/>
      <c r="I279" s="10" t="n"/>
      <c r="J279" s="5" t="n"/>
    </row>
    <row r="280" ht="36" customHeight="1">
      <c r="A280" s="5" t="n"/>
      <c r="B280" s="5" t="n"/>
      <c r="C280" s="10" t="n"/>
      <c r="D280" s="5" t="n"/>
      <c r="E280" s="5" t="n"/>
      <c r="F280" s="5" t="n"/>
      <c r="G280" s="5" t="n"/>
      <c r="H280" s="10" t="n"/>
      <c r="I280" s="10" t="n"/>
      <c r="J280" s="5" t="n"/>
    </row>
    <row r="281" ht="36" customHeight="1">
      <c r="A281" s="5" t="n"/>
      <c r="B281" s="5" t="n"/>
      <c r="C281" s="10" t="n"/>
      <c r="D281" s="5" t="n"/>
      <c r="E281" s="5" t="n"/>
      <c r="F281" s="5" t="n"/>
      <c r="G281" s="5" t="n"/>
      <c r="H281" s="10" t="n"/>
      <c r="I281" s="10" t="n"/>
      <c r="J281" s="5" t="n"/>
    </row>
    <row r="282" ht="36" customHeight="1">
      <c r="A282" s="5" t="n"/>
      <c r="B282" s="5" t="n"/>
      <c r="C282" s="10" t="n"/>
      <c r="D282" s="5" t="n"/>
      <c r="E282" s="5" t="n"/>
      <c r="F282" s="5" t="n"/>
      <c r="G282" s="5" t="n"/>
      <c r="H282" s="10" t="n"/>
      <c r="I282" s="10" t="n"/>
      <c r="J282" s="5" t="n"/>
    </row>
    <row r="283" ht="36" customHeight="1">
      <c r="A283" s="5" t="n"/>
      <c r="B283" s="5" t="n"/>
      <c r="C283" s="10" t="n"/>
      <c r="D283" s="5" t="n"/>
      <c r="E283" s="5" t="n"/>
      <c r="F283" s="5" t="n"/>
      <c r="G283" s="5" t="n"/>
      <c r="H283" s="10" t="n"/>
      <c r="I283" s="10" t="n"/>
      <c r="J283" s="5" t="n"/>
    </row>
    <row r="284" ht="36" customHeight="1">
      <c r="A284" s="5" t="n"/>
      <c r="B284" s="5" t="n"/>
      <c r="C284" s="10" t="n"/>
      <c r="D284" s="5" t="n"/>
      <c r="E284" s="5" t="n"/>
      <c r="F284" s="5" t="n"/>
      <c r="G284" s="5" t="n"/>
      <c r="H284" s="10" t="n"/>
      <c r="I284" s="10" t="n"/>
      <c r="J284" s="5" t="n"/>
    </row>
    <row r="285" ht="36" customHeight="1">
      <c r="A285" s="5" t="n"/>
      <c r="B285" s="5" t="n"/>
      <c r="C285" s="10" t="n"/>
      <c r="D285" s="5" t="n"/>
      <c r="E285" s="5" t="n"/>
      <c r="F285" s="5" t="n"/>
      <c r="G285" s="5" t="n"/>
      <c r="H285" s="10" t="n"/>
      <c r="I285" s="10" t="n"/>
      <c r="J285" s="5" t="n"/>
    </row>
    <row r="286" ht="36" customHeight="1">
      <c r="A286" s="5" t="n"/>
      <c r="B286" s="5" t="n"/>
      <c r="C286" s="10" t="n"/>
      <c r="D286" s="5" t="n"/>
      <c r="E286" s="5" t="n"/>
      <c r="F286" s="5" t="n"/>
      <c r="G286" s="5" t="n"/>
      <c r="H286" s="10" t="n"/>
      <c r="I286" s="10" t="n"/>
      <c r="J286" s="5" t="n"/>
    </row>
    <row r="287" ht="36" customHeight="1">
      <c r="A287" s="5" t="n"/>
      <c r="B287" s="5" t="n"/>
      <c r="C287" s="10" t="n"/>
      <c r="D287" s="5" t="n"/>
      <c r="E287" s="5" t="n"/>
      <c r="F287" s="5" t="n"/>
      <c r="G287" s="5" t="n"/>
      <c r="H287" s="10" t="n"/>
      <c r="I287" s="10" t="n"/>
      <c r="J287" s="5" t="n"/>
    </row>
    <row r="288" ht="36" customHeight="1">
      <c r="A288" s="5" t="n"/>
      <c r="B288" s="5" t="n"/>
      <c r="C288" s="10" t="n"/>
      <c r="D288" s="5" t="n"/>
      <c r="E288" s="5" t="n"/>
      <c r="F288" s="5" t="n"/>
      <c r="G288" s="5" t="n"/>
      <c r="H288" s="10" t="n"/>
      <c r="I288" s="10" t="n"/>
      <c r="J288" s="5" t="n"/>
    </row>
    <row r="289" ht="36" customHeight="1">
      <c r="A289" s="5" t="n"/>
      <c r="B289" s="5" t="n"/>
      <c r="C289" s="10" t="n"/>
      <c r="D289" s="5" t="n"/>
      <c r="E289" s="5" t="n"/>
      <c r="F289" s="5" t="n"/>
      <c r="G289" s="5" t="n"/>
      <c r="H289" s="10" t="n"/>
      <c r="I289" s="10" t="n"/>
      <c r="J289" s="5" t="n"/>
    </row>
    <row r="290" ht="36" customHeight="1">
      <c r="A290" s="5" t="n"/>
      <c r="B290" s="5" t="n"/>
      <c r="C290" s="10" t="n"/>
      <c r="D290" s="5" t="n"/>
      <c r="E290" s="5" t="n"/>
      <c r="F290" s="5" t="n"/>
      <c r="G290" s="5" t="n"/>
      <c r="H290" s="10" t="n"/>
      <c r="I290" s="10" t="n"/>
      <c r="J290" s="5" t="n"/>
    </row>
    <row r="291" ht="36" customHeight="1">
      <c r="A291" s="5" t="n"/>
      <c r="B291" s="5" t="n"/>
      <c r="C291" s="10" t="n"/>
      <c r="D291" s="5" t="n"/>
      <c r="E291" s="5" t="n"/>
      <c r="F291" s="5" t="n"/>
      <c r="G291" s="5" t="n"/>
      <c r="H291" s="10" t="n"/>
      <c r="I291" s="10" t="n"/>
      <c r="J291" s="5" t="n"/>
    </row>
    <row r="292" ht="36" customHeight="1">
      <c r="A292" s="5" t="n"/>
      <c r="B292" s="5" t="n"/>
      <c r="C292" s="10" t="n"/>
      <c r="D292" s="5" t="n"/>
      <c r="E292" s="5" t="n"/>
      <c r="F292" s="5" t="n"/>
      <c r="G292" s="5" t="n"/>
      <c r="H292" s="10" t="n"/>
      <c r="I292" s="10" t="n"/>
      <c r="J292" s="5" t="n"/>
    </row>
    <row r="293" ht="36" customHeight="1">
      <c r="A293" s="5" t="n"/>
      <c r="B293" s="5" t="n"/>
      <c r="C293" s="10" t="n"/>
      <c r="D293" s="5" t="n"/>
      <c r="E293" s="5" t="n"/>
      <c r="F293" s="5" t="n"/>
      <c r="G293" s="5" t="n"/>
      <c r="H293" s="10" t="n"/>
      <c r="I293" s="10" t="n"/>
      <c r="J293" s="5" t="n"/>
    </row>
    <row r="294" ht="36" customHeight="1">
      <c r="A294" s="5" t="n"/>
      <c r="B294" s="5" t="n"/>
      <c r="C294" s="10" t="n"/>
      <c r="D294" s="5" t="n"/>
      <c r="E294" s="5" t="n"/>
      <c r="F294" s="5" t="n"/>
      <c r="G294" s="5" t="n"/>
      <c r="H294" s="10" t="n"/>
      <c r="I294" s="10" t="n"/>
      <c r="J294" s="5" t="n"/>
    </row>
    <row r="295" ht="36" customHeight="1">
      <c r="A295" s="5" t="n"/>
      <c r="B295" s="5" t="n"/>
      <c r="C295" s="10" t="n"/>
      <c r="D295" s="5" t="n"/>
      <c r="E295" s="5" t="n"/>
      <c r="F295" s="5" t="n"/>
      <c r="G295" s="5" t="n"/>
      <c r="H295" s="10" t="n"/>
      <c r="I295" s="10" t="n"/>
      <c r="J295" s="5" t="n"/>
    </row>
    <row r="296" ht="36" customHeight="1">
      <c r="A296" s="5" t="n"/>
      <c r="B296" s="5" t="n"/>
      <c r="C296" s="10" t="n"/>
      <c r="D296" s="5" t="n"/>
      <c r="E296" s="5" t="n"/>
      <c r="F296" s="5" t="n"/>
      <c r="G296" s="5" t="n"/>
      <c r="H296" s="10" t="n"/>
      <c r="I296" s="10" t="n"/>
      <c r="J296" s="5" t="n"/>
    </row>
    <row r="297" ht="36" customHeight="1">
      <c r="A297" s="5" t="n"/>
      <c r="B297" s="5" t="n"/>
      <c r="C297" s="10" t="n"/>
      <c r="D297" s="5" t="n"/>
      <c r="E297" s="5" t="n"/>
      <c r="F297" s="5" t="n"/>
      <c r="G297" s="5" t="n"/>
      <c r="H297" s="10" t="n"/>
      <c r="I297" s="10" t="n"/>
      <c r="J297" s="5" t="n"/>
    </row>
    <row r="298" ht="36" customHeight="1">
      <c r="A298" s="5" t="n"/>
      <c r="B298" s="5" t="n"/>
      <c r="C298" s="10" t="n"/>
      <c r="D298" s="5" t="n"/>
      <c r="E298" s="5" t="n"/>
      <c r="F298" s="5" t="n"/>
      <c r="G298" s="5" t="n"/>
      <c r="H298" s="10" t="n"/>
      <c r="I298" s="10" t="n"/>
      <c r="J298" s="5" t="n"/>
    </row>
    <row r="299" ht="36" customHeight="1">
      <c r="A299" s="5" t="n"/>
      <c r="B299" s="5" t="n"/>
      <c r="C299" s="10" t="n"/>
      <c r="D299" s="5" t="n"/>
      <c r="E299" s="5" t="n"/>
      <c r="F299" s="5" t="n"/>
      <c r="G299" s="5" t="n"/>
      <c r="H299" s="10" t="n"/>
      <c r="I299" s="10" t="n"/>
      <c r="J299" s="5" t="n"/>
    </row>
    <row r="300" ht="36" customHeight="1">
      <c r="A300" s="5" t="n"/>
      <c r="B300" s="5" t="n"/>
      <c r="C300" s="10" t="n"/>
      <c r="D300" s="5" t="n"/>
      <c r="E300" s="5" t="n"/>
      <c r="F300" s="5" t="n"/>
      <c r="G300" s="5" t="n"/>
      <c r="H300" s="10" t="n"/>
      <c r="I300" s="10" t="n"/>
      <c r="J300" s="5" t="n"/>
    </row>
    <row r="301" ht="36" customHeight="1">
      <c r="A301" s="5" t="n"/>
      <c r="B301" s="5" t="n"/>
      <c r="C301" s="10" t="n"/>
      <c r="D301" s="5" t="n"/>
      <c r="E301" s="5" t="n"/>
      <c r="F301" s="5" t="n"/>
      <c r="G301" s="5" t="n"/>
      <c r="H301" s="10" t="n"/>
      <c r="I301" s="10" t="n"/>
      <c r="J301" s="5" t="n"/>
    </row>
  </sheetData>
  <dataValidations count="3">
    <dataValidation sqref="G2:G301" showDropDown="0" showInputMessage="0" showErrorMessage="0" allowBlank="1" type="list">
      <formula1>"extract_nav,compute_pnl,none"</formula1>
    </dataValidation>
    <dataValidation sqref="J2:J301" showDropDown="0" showInputMessage="0" showErrorMessage="0" allowBlank="1" type="list">
      <formula1>"simple,ambigu,complexe"</formula1>
    </dataValidation>
    <dataValidation sqref="F2:F301" showDropDown="0" showInputMessage="0" showErrorMessage="0" allowBlank="1" type="list">
      <formula1>"nav_issue,performance_issue,valuation_gap,positions_issue,other"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58" customWidth="1" min="5" max="5"/>
    <col width="14" customWidth="1" min="6" max="6"/>
    <col width="26" customWidth="1" min="7" max="7"/>
    <col width="24" customWidth="1" min="8" max="8"/>
    <col width="18" customWidth="1" min="9" max="9"/>
    <col width="18" customWidth="1" min="10" max="10"/>
    <col width="14" customWidth="1" min="11" max="11"/>
    <col width="12" customWidth="1" min="12" max="12"/>
    <col width="16" customWidth="1" min="13" max="13"/>
    <col width="12" customWidth="1" min="14" max="14"/>
    <col width="14" customWidth="1" min="15" max="15"/>
  </cols>
  <sheetData>
    <row r="1">
      <c r="A1" s="9" t="inlineStr">
        <is>
          <t>ticket_id</t>
        </is>
      </c>
      <c r="B1" s="9" t="inlineStr">
        <is>
          <t>tool_choisi_agent</t>
        </is>
      </c>
      <c r="C1" s="9" t="inlineStr">
        <is>
          <t>portfolio_extrait</t>
        </is>
      </c>
      <c r="D1" s="9" t="inlineStr">
        <is>
          <t>date_extraite</t>
        </is>
      </c>
      <c r="E1" s="9" t="inlineStr">
        <is>
          <t>reponse_agent</t>
        </is>
      </c>
      <c r="F1" s="9" t="inlineStr">
        <is>
          <t>temps_execution_sec</t>
        </is>
      </c>
      <c r="G1" s="9" t="inlineStr">
        <is>
          <t>erreur_execution</t>
        </is>
      </c>
      <c r="H1" s="9" t="inlineStr">
        <is>
          <t>commentaire_revue</t>
        </is>
      </c>
      <c r="I1" s="9" t="inlineStr">
        <is>
          <t>tool_attendu</t>
        </is>
      </c>
      <c r="J1" s="9" t="inlineStr">
        <is>
          <t>portfolio_attendu</t>
        </is>
      </c>
      <c r="K1" s="9" t="inlineStr">
        <is>
          <t>date_attendue</t>
        </is>
      </c>
      <c r="L1" s="9" t="inlineStr">
        <is>
          <t>tool_correct</t>
        </is>
      </c>
      <c r="M1" s="9" t="inlineStr">
        <is>
          <t>arguments_corrects</t>
        </is>
      </c>
      <c r="N1" s="9" t="inlineStr">
        <is>
          <t>ticket_ambigu</t>
        </is>
      </c>
      <c r="O1" s="9" t="inlineStr">
        <is>
          <t>reponse_a_revoir</t>
        </is>
      </c>
    </row>
    <row r="2" ht="34" customHeight="1">
      <c r="A2" s="5" t="inlineStr">
        <is>
          <t>JIRA-1024</t>
        </is>
      </c>
      <c r="B2" s="5" t="inlineStr">
        <is>
          <t>extract_nav</t>
        </is>
      </c>
      <c r="C2" s="5" t="inlineStr">
        <is>
          <t>PF001</t>
        </is>
      </c>
      <c r="D2" s="5" t="inlineStr">
        <is>
          <t>2026-03-05</t>
        </is>
      </c>
      <c r="E2" s="10" t="inlineStr">
        <is>
          <t>La NAV du portefeuille PF001 pour la date du 2026-03-05 est de 1 250 345.78 EUR.</t>
        </is>
      </c>
      <c r="F2" s="11" t="n">
        <v>3.2</v>
      </c>
      <c r="G2" s="12" t="n"/>
      <c r="H2" s="12" t="n"/>
      <c r="I2" s="13">
        <f>IFERROR(INDEX(TICKETS_DATASET!$G$2:$G$301,MATCH($A2,TICKETS_DATASET!$A$2:$A$301,0)),"")</f>
        <v/>
      </c>
      <c r="J2" s="13">
        <f>IFERROR(INDEX(TICKETS_DATASET!$D$2:$D$301,MATCH($A2,TICKETS_DATASET!$A$2:$A$301,0)),"")</f>
        <v/>
      </c>
      <c r="K2" s="13">
        <f>IFERROR(INDEX(TICKETS_DATASET!$E$2:$E$301,MATCH($A2,TICKETS_DATASET!$A$2:$A$301,0)),"")</f>
        <v/>
      </c>
      <c r="L2" s="14">
        <f>IF($A2="","",IF($B2=$I2,1,0))</f>
        <v/>
      </c>
      <c r="M2" s="14">
        <f>IF($A2="","",IF(AND($C2=$J2,$D2=$K2),1,0))</f>
        <v/>
      </c>
      <c r="N2" s="14">
        <f>IF($A2="","",IFERROR(IF(INDEX(TICKETS_DATASET!$J$2:$J$301,MATCH($A2,TICKETS_DATASET!$A$2:$A$301,0))="ambigu",1,0),0))</f>
        <v/>
      </c>
      <c r="O2" s="14">
        <f>IF($A2="","",IF(OR($G2&lt;&gt;"",$L2=0,$M2=0),1,0))</f>
        <v/>
      </c>
    </row>
    <row r="3" ht="34" customHeight="1">
      <c r="A3" s="5" t="inlineStr">
        <is>
          <t>JIRA-1025</t>
        </is>
      </c>
      <c r="B3" s="5" t="inlineStr">
        <is>
          <t>compute_pnl</t>
        </is>
      </c>
      <c r="C3" s="5" t="inlineStr">
        <is>
          <t>PF007</t>
        </is>
      </c>
      <c r="D3" s="5" t="inlineStr">
        <is>
          <t>2026-03-05</t>
        </is>
      </c>
      <c r="E3" s="10" t="inlineStr">
        <is>
          <t>Le PNL pour le portefeuille PF007 à la date du 2026-03-05 est de 23 456,78 EUR.</t>
        </is>
      </c>
      <c r="F3" s="11" t="n">
        <v>3.8</v>
      </c>
      <c r="G3" s="12" t="n"/>
      <c r="H3" s="12" t="n"/>
      <c r="I3" s="13">
        <f>IFERROR(INDEX(TICKETS_DATASET!$G$2:$G$301,MATCH($A3,TICKETS_DATASET!$A$2:$A$301,0)),"")</f>
        <v/>
      </c>
      <c r="J3" s="13">
        <f>IFERROR(INDEX(TICKETS_DATASET!$D$2:$D$301,MATCH($A3,TICKETS_DATASET!$A$2:$A$301,0)),"")</f>
        <v/>
      </c>
      <c r="K3" s="13">
        <f>IFERROR(INDEX(TICKETS_DATASET!$E$2:$E$301,MATCH($A3,TICKETS_DATASET!$A$2:$A$301,0)),"")</f>
        <v/>
      </c>
      <c r="L3" s="14">
        <f>IF($A3="","",IF($B3=$I3,1,0))</f>
        <v/>
      </c>
      <c r="M3" s="14">
        <f>IF($A3="","",IF(AND($C3=$J3,$D3=$K3),1,0))</f>
        <v/>
      </c>
      <c r="N3" s="14">
        <f>IF($A3="","",IFERROR(IF(INDEX(TICKETS_DATASET!$J$2:$J$301,MATCH($A3,TICKETS_DATASET!$A$2:$A$301,0))="ambigu",1,0),0))</f>
        <v/>
      </c>
      <c r="O3" s="14">
        <f>IF($A3="","",IF(OR($G3&lt;&gt;"",$L3=0,$M3=0),1,0))</f>
        <v/>
      </c>
    </row>
    <row r="4" ht="34" customHeight="1">
      <c r="A4" s="5" t="n"/>
      <c r="B4" s="5" t="n"/>
      <c r="C4" s="5" t="n"/>
      <c r="D4" s="5" t="n"/>
      <c r="E4" s="10" t="n"/>
      <c r="F4" s="11" t="n"/>
      <c r="G4" s="12" t="n"/>
      <c r="H4" s="12" t="n"/>
      <c r="I4" s="13">
        <f>IFERROR(INDEX(TICKETS_DATASET!$G$2:$G$301,MATCH($A4,TICKETS_DATASET!$A$2:$A$301,0)),"")</f>
        <v/>
      </c>
      <c r="J4" s="13">
        <f>IFERROR(INDEX(TICKETS_DATASET!$D$2:$D$301,MATCH($A4,TICKETS_DATASET!$A$2:$A$301,0)),"")</f>
        <v/>
      </c>
      <c r="K4" s="13">
        <f>IFERROR(INDEX(TICKETS_DATASET!$E$2:$E$301,MATCH($A4,TICKETS_DATASET!$A$2:$A$301,0)),"")</f>
        <v/>
      </c>
      <c r="L4" s="14">
        <f>IF($A4="","",IF($B4=$I4,1,0))</f>
        <v/>
      </c>
      <c r="M4" s="14">
        <f>IF($A4="","",IF(AND($C4=$J4,$D4=$K4),1,0))</f>
        <v/>
      </c>
      <c r="N4" s="14">
        <f>IF($A4="","",IFERROR(IF(INDEX(TICKETS_DATASET!$J$2:$J$301,MATCH($A4,TICKETS_DATASET!$A$2:$A$301,0))="ambigu",1,0),0))</f>
        <v/>
      </c>
      <c r="O4" s="14">
        <f>IF($A4="","",IF(OR($G4&lt;&gt;"",$L4=0,$M4=0),1,0))</f>
        <v/>
      </c>
    </row>
    <row r="5" ht="34" customHeight="1">
      <c r="A5" s="5" t="n"/>
      <c r="B5" s="5" t="n"/>
      <c r="C5" s="5" t="n"/>
      <c r="D5" s="5" t="n"/>
      <c r="E5" s="10" t="n"/>
      <c r="F5" s="11" t="n"/>
      <c r="G5" s="12" t="n"/>
      <c r="H5" s="12" t="n"/>
      <c r="I5" s="13">
        <f>IFERROR(INDEX(TICKETS_DATASET!$G$2:$G$301,MATCH($A5,TICKETS_DATASET!$A$2:$A$301,0)),"")</f>
        <v/>
      </c>
      <c r="J5" s="13">
        <f>IFERROR(INDEX(TICKETS_DATASET!$D$2:$D$301,MATCH($A5,TICKETS_DATASET!$A$2:$A$301,0)),"")</f>
        <v/>
      </c>
      <c r="K5" s="13">
        <f>IFERROR(INDEX(TICKETS_DATASET!$E$2:$E$301,MATCH($A5,TICKETS_DATASET!$A$2:$A$301,0)),"")</f>
        <v/>
      </c>
      <c r="L5" s="14">
        <f>IF($A5="","",IF($B5=$I5,1,0))</f>
        <v/>
      </c>
      <c r="M5" s="14">
        <f>IF($A5="","",IF(AND($C5=$J5,$D5=$K5),1,0))</f>
        <v/>
      </c>
      <c r="N5" s="14">
        <f>IF($A5="","",IFERROR(IF(INDEX(TICKETS_DATASET!$J$2:$J$301,MATCH($A5,TICKETS_DATASET!$A$2:$A$301,0))="ambigu",1,0),0))</f>
        <v/>
      </c>
      <c r="O5" s="14">
        <f>IF($A5="","",IF(OR($G5&lt;&gt;"",$L5=0,$M5=0),1,0))</f>
        <v/>
      </c>
    </row>
    <row r="6" ht="34" customHeight="1">
      <c r="A6" s="5" t="n"/>
      <c r="B6" s="5" t="n"/>
      <c r="C6" s="5" t="n"/>
      <c r="D6" s="5" t="n"/>
      <c r="E6" s="10" t="n"/>
      <c r="F6" s="11" t="n"/>
      <c r="G6" s="12" t="n"/>
      <c r="H6" s="12" t="n"/>
      <c r="I6" s="13">
        <f>IFERROR(INDEX(TICKETS_DATASET!$G$2:$G$301,MATCH($A6,TICKETS_DATASET!$A$2:$A$301,0)),"")</f>
        <v/>
      </c>
      <c r="J6" s="13">
        <f>IFERROR(INDEX(TICKETS_DATASET!$D$2:$D$301,MATCH($A6,TICKETS_DATASET!$A$2:$A$301,0)),"")</f>
        <v/>
      </c>
      <c r="K6" s="13">
        <f>IFERROR(INDEX(TICKETS_DATASET!$E$2:$E$301,MATCH($A6,TICKETS_DATASET!$A$2:$A$301,0)),"")</f>
        <v/>
      </c>
      <c r="L6" s="14">
        <f>IF($A6="","",IF($B6=$I6,1,0))</f>
        <v/>
      </c>
      <c r="M6" s="14">
        <f>IF($A6="","",IF(AND($C6=$J6,$D6=$K6),1,0))</f>
        <v/>
      </c>
      <c r="N6" s="14">
        <f>IF($A6="","",IFERROR(IF(INDEX(TICKETS_DATASET!$J$2:$J$301,MATCH($A6,TICKETS_DATASET!$A$2:$A$301,0))="ambigu",1,0),0))</f>
        <v/>
      </c>
      <c r="O6" s="14">
        <f>IF($A6="","",IF(OR($G6&lt;&gt;"",$L6=0,$M6=0),1,0))</f>
        <v/>
      </c>
    </row>
    <row r="7" ht="34" customHeight="1">
      <c r="A7" s="5" t="n"/>
      <c r="B7" s="5" t="n"/>
      <c r="C7" s="5" t="n"/>
      <c r="D7" s="5" t="n"/>
      <c r="E7" s="10" t="n"/>
      <c r="F7" s="11" t="n"/>
      <c r="G7" s="12" t="n"/>
      <c r="H7" s="12" t="n"/>
      <c r="I7" s="13">
        <f>IFERROR(INDEX(TICKETS_DATASET!$G$2:$G$301,MATCH($A7,TICKETS_DATASET!$A$2:$A$301,0)),"")</f>
        <v/>
      </c>
      <c r="J7" s="13">
        <f>IFERROR(INDEX(TICKETS_DATASET!$D$2:$D$301,MATCH($A7,TICKETS_DATASET!$A$2:$A$301,0)),"")</f>
        <v/>
      </c>
      <c r="K7" s="13">
        <f>IFERROR(INDEX(TICKETS_DATASET!$E$2:$E$301,MATCH($A7,TICKETS_DATASET!$A$2:$A$301,0)),"")</f>
        <v/>
      </c>
      <c r="L7" s="14">
        <f>IF($A7="","",IF($B7=$I7,1,0))</f>
        <v/>
      </c>
      <c r="M7" s="14">
        <f>IF($A7="","",IF(AND($C7=$J7,$D7=$K7),1,0))</f>
        <v/>
      </c>
      <c r="N7" s="14">
        <f>IF($A7="","",IFERROR(IF(INDEX(TICKETS_DATASET!$J$2:$J$301,MATCH($A7,TICKETS_DATASET!$A$2:$A$301,0))="ambigu",1,0),0))</f>
        <v/>
      </c>
      <c r="O7" s="14">
        <f>IF($A7="","",IF(OR($G7&lt;&gt;"",$L7=0,$M7=0),1,0))</f>
        <v/>
      </c>
    </row>
    <row r="8" ht="34" customHeight="1">
      <c r="A8" s="5" t="n"/>
      <c r="B8" s="5" t="n"/>
      <c r="C8" s="5" t="n"/>
      <c r="D8" s="5" t="n"/>
      <c r="E8" s="10" t="n"/>
      <c r="F8" s="11" t="n"/>
      <c r="G8" s="12" t="n"/>
      <c r="H8" s="12" t="n"/>
      <c r="I8" s="13">
        <f>IFERROR(INDEX(TICKETS_DATASET!$G$2:$G$301,MATCH($A8,TICKETS_DATASET!$A$2:$A$301,0)),"")</f>
        <v/>
      </c>
      <c r="J8" s="13">
        <f>IFERROR(INDEX(TICKETS_DATASET!$D$2:$D$301,MATCH($A8,TICKETS_DATASET!$A$2:$A$301,0)),"")</f>
        <v/>
      </c>
      <c r="K8" s="13">
        <f>IFERROR(INDEX(TICKETS_DATASET!$E$2:$E$301,MATCH($A8,TICKETS_DATASET!$A$2:$A$301,0)),"")</f>
        <v/>
      </c>
      <c r="L8" s="14">
        <f>IF($A8="","",IF($B8=$I8,1,0))</f>
        <v/>
      </c>
      <c r="M8" s="14">
        <f>IF($A8="","",IF(AND($C8=$J8,$D8=$K8),1,0))</f>
        <v/>
      </c>
      <c r="N8" s="14">
        <f>IF($A8="","",IFERROR(IF(INDEX(TICKETS_DATASET!$J$2:$J$301,MATCH($A8,TICKETS_DATASET!$A$2:$A$301,0))="ambigu",1,0),0))</f>
        <v/>
      </c>
      <c r="O8" s="14">
        <f>IF($A8="","",IF(OR($G8&lt;&gt;"",$L8=0,$M8=0),1,0))</f>
        <v/>
      </c>
    </row>
    <row r="9" ht="34" customHeight="1">
      <c r="A9" s="5" t="n"/>
      <c r="B9" s="5" t="n"/>
      <c r="C9" s="5" t="n"/>
      <c r="D9" s="5" t="n"/>
      <c r="E9" s="10" t="n"/>
      <c r="F9" s="11" t="n"/>
      <c r="G9" s="12" t="n"/>
      <c r="H9" s="12" t="n"/>
      <c r="I9" s="13">
        <f>IFERROR(INDEX(TICKETS_DATASET!$G$2:$G$301,MATCH($A9,TICKETS_DATASET!$A$2:$A$301,0)),"")</f>
        <v/>
      </c>
      <c r="J9" s="13">
        <f>IFERROR(INDEX(TICKETS_DATASET!$D$2:$D$301,MATCH($A9,TICKETS_DATASET!$A$2:$A$301,0)),"")</f>
        <v/>
      </c>
      <c r="K9" s="13">
        <f>IFERROR(INDEX(TICKETS_DATASET!$E$2:$E$301,MATCH($A9,TICKETS_DATASET!$A$2:$A$301,0)),"")</f>
        <v/>
      </c>
      <c r="L9" s="14">
        <f>IF($A9="","",IF($B9=$I9,1,0))</f>
        <v/>
      </c>
      <c r="M9" s="14">
        <f>IF($A9="","",IF(AND($C9=$J9,$D9=$K9),1,0))</f>
        <v/>
      </c>
      <c r="N9" s="14">
        <f>IF($A9="","",IFERROR(IF(INDEX(TICKETS_DATASET!$J$2:$J$301,MATCH($A9,TICKETS_DATASET!$A$2:$A$301,0))="ambigu",1,0),0))</f>
        <v/>
      </c>
      <c r="O9" s="14">
        <f>IF($A9="","",IF(OR($G9&lt;&gt;"",$L9=0,$M9=0),1,0))</f>
        <v/>
      </c>
    </row>
    <row r="10" ht="34" customHeight="1">
      <c r="A10" s="5" t="n"/>
      <c r="B10" s="5" t="n"/>
      <c r="C10" s="5" t="n"/>
      <c r="D10" s="5" t="n"/>
      <c r="E10" s="10" t="n"/>
      <c r="F10" s="11" t="n"/>
      <c r="G10" s="12" t="n"/>
      <c r="H10" s="12" t="n"/>
      <c r="I10" s="13">
        <f>IFERROR(INDEX(TICKETS_DATASET!$G$2:$G$301,MATCH($A10,TICKETS_DATASET!$A$2:$A$301,0)),"")</f>
        <v/>
      </c>
      <c r="J10" s="13">
        <f>IFERROR(INDEX(TICKETS_DATASET!$D$2:$D$301,MATCH($A10,TICKETS_DATASET!$A$2:$A$301,0)),"")</f>
        <v/>
      </c>
      <c r="K10" s="13">
        <f>IFERROR(INDEX(TICKETS_DATASET!$E$2:$E$301,MATCH($A10,TICKETS_DATASET!$A$2:$A$301,0)),"")</f>
        <v/>
      </c>
      <c r="L10" s="14">
        <f>IF($A10="","",IF($B10=$I10,1,0))</f>
        <v/>
      </c>
      <c r="M10" s="14">
        <f>IF($A10="","",IF(AND($C10=$J10,$D10=$K10),1,0))</f>
        <v/>
      </c>
      <c r="N10" s="14">
        <f>IF($A10="","",IFERROR(IF(INDEX(TICKETS_DATASET!$J$2:$J$301,MATCH($A10,TICKETS_DATASET!$A$2:$A$301,0))="ambigu",1,0),0))</f>
        <v/>
      </c>
      <c r="O10" s="14">
        <f>IF($A10="","",IF(OR($G10&lt;&gt;"",$L10=0,$M10=0),1,0))</f>
        <v/>
      </c>
    </row>
    <row r="11" ht="34" customHeight="1">
      <c r="A11" s="5" t="n"/>
      <c r="B11" s="5" t="n"/>
      <c r="C11" s="5" t="n"/>
      <c r="D11" s="5" t="n"/>
      <c r="E11" s="10" t="n"/>
      <c r="F11" s="11" t="n"/>
      <c r="G11" s="12" t="n"/>
      <c r="H11" s="12" t="n"/>
      <c r="I11" s="13">
        <f>IFERROR(INDEX(TICKETS_DATASET!$G$2:$G$301,MATCH($A11,TICKETS_DATASET!$A$2:$A$301,0)),"")</f>
        <v/>
      </c>
      <c r="J11" s="13">
        <f>IFERROR(INDEX(TICKETS_DATASET!$D$2:$D$301,MATCH($A11,TICKETS_DATASET!$A$2:$A$301,0)),"")</f>
        <v/>
      </c>
      <c r="K11" s="13">
        <f>IFERROR(INDEX(TICKETS_DATASET!$E$2:$E$301,MATCH($A11,TICKETS_DATASET!$A$2:$A$301,0)),"")</f>
        <v/>
      </c>
      <c r="L11" s="14">
        <f>IF($A11="","",IF($B11=$I11,1,0))</f>
        <v/>
      </c>
      <c r="M11" s="14">
        <f>IF($A11="","",IF(AND($C11=$J11,$D11=$K11),1,0))</f>
        <v/>
      </c>
      <c r="N11" s="14">
        <f>IF($A11="","",IFERROR(IF(INDEX(TICKETS_DATASET!$J$2:$J$301,MATCH($A11,TICKETS_DATASET!$A$2:$A$301,0))="ambigu",1,0),0))</f>
        <v/>
      </c>
      <c r="O11" s="14">
        <f>IF($A11="","",IF(OR($G11&lt;&gt;"",$L11=0,$M11=0),1,0))</f>
        <v/>
      </c>
    </row>
    <row r="12" ht="34" customHeight="1">
      <c r="A12" s="5" t="n"/>
      <c r="B12" s="5" t="n"/>
      <c r="C12" s="5" t="n"/>
      <c r="D12" s="5" t="n"/>
      <c r="E12" s="10" t="n"/>
      <c r="F12" s="11" t="n"/>
      <c r="G12" s="12" t="n"/>
      <c r="H12" s="12" t="n"/>
      <c r="I12" s="13">
        <f>IFERROR(INDEX(TICKETS_DATASET!$G$2:$G$301,MATCH($A12,TICKETS_DATASET!$A$2:$A$301,0)),"")</f>
        <v/>
      </c>
      <c r="J12" s="13">
        <f>IFERROR(INDEX(TICKETS_DATASET!$D$2:$D$301,MATCH($A12,TICKETS_DATASET!$A$2:$A$301,0)),"")</f>
        <v/>
      </c>
      <c r="K12" s="13">
        <f>IFERROR(INDEX(TICKETS_DATASET!$E$2:$E$301,MATCH($A12,TICKETS_DATASET!$A$2:$A$301,0)),"")</f>
        <v/>
      </c>
      <c r="L12" s="14">
        <f>IF($A12="","",IF($B12=$I12,1,0))</f>
        <v/>
      </c>
      <c r="M12" s="14">
        <f>IF($A12="","",IF(AND($C12=$J12,$D12=$K12),1,0))</f>
        <v/>
      </c>
      <c r="N12" s="14">
        <f>IF($A12="","",IFERROR(IF(INDEX(TICKETS_DATASET!$J$2:$J$301,MATCH($A12,TICKETS_DATASET!$A$2:$A$301,0))="ambigu",1,0),0))</f>
        <v/>
      </c>
      <c r="O12" s="14">
        <f>IF($A12="","",IF(OR($G12&lt;&gt;"",$L12=0,$M12=0),1,0))</f>
        <v/>
      </c>
    </row>
    <row r="13" ht="34" customHeight="1">
      <c r="A13" s="5" t="n"/>
      <c r="B13" s="5" t="n"/>
      <c r="C13" s="5" t="n"/>
      <c r="D13" s="5" t="n"/>
      <c r="E13" s="10" t="n"/>
      <c r="F13" s="11" t="n"/>
      <c r="G13" s="12" t="n"/>
      <c r="H13" s="12" t="n"/>
      <c r="I13" s="13">
        <f>IFERROR(INDEX(TICKETS_DATASET!$G$2:$G$301,MATCH($A13,TICKETS_DATASET!$A$2:$A$301,0)),"")</f>
        <v/>
      </c>
      <c r="J13" s="13">
        <f>IFERROR(INDEX(TICKETS_DATASET!$D$2:$D$301,MATCH($A13,TICKETS_DATASET!$A$2:$A$301,0)),"")</f>
        <v/>
      </c>
      <c r="K13" s="13">
        <f>IFERROR(INDEX(TICKETS_DATASET!$E$2:$E$301,MATCH($A13,TICKETS_DATASET!$A$2:$A$301,0)),"")</f>
        <v/>
      </c>
      <c r="L13" s="14">
        <f>IF($A13="","",IF($B13=$I13,1,0))</f>
        <v/>
      </c>
      <c r="M13" s="14">
        <f>IF($A13="","",IF(AND($C13=$J13,$D13=$K13),1,0))</f>
        <v/>
      </c>
      <c r="N13" s="14">
        <f>IF($A13="","",IFERROR(IF(INDEX(TICKETS_DATASET!$J$2:$J$301,MATCH($A13,TICKETS_DATASET!$A$2:$A$301,0))="ambigu",1,0),0))</f>
        <v/>
      </c>
      <c r="O13" s="14">
        <f>IF($A13="","",IF(OR($G13&lt;&gt;"",$L13=0,$M13=0),1,0))</f>
        <v/>
      </c>
    </row>
    <row r="14" ht="34" customHeight="1">
      <c r="A14" s="5" t="n"/>
      <c r="B14" s="5" t="n"/>
      <c r="C14" s="5" t="n"/>
      <c r="D14" s="5" t="n"/>
      <c r="E14" s="10" t="n"/>
      <c r="F14" s="11" t="n"/>
      <c r="G14" s="12" t="n"/>
      <c r="H14" s="12" t="n"/>
      <c r="I14" s="13">
        <f>IFERROR(INDEX(TICKETS_DATASET!$G$2:$G$301,MATCH($A14,TICKETS_DATASET!$A$2:$A$301,0)),"")</f>
        <v/>
      </c>
      <c r="J14" s="13">
        <f>IFERROR(INDEX(TICKETS_DATASET!$D$2:$D$301,MATCH($A14,TICKETS_DATASET!$A$2:$A$301,0)),"")</f>
        <v/>
      </c>
      <c r="K14" s="13">
        <f>IFERROR(INDEX(TICKETS_DATASET!$E$2:$E$301,MATCH($A14,TICKETS_DATASET!$A$2:$A$301,0)),"")</f>
        <v/>
      </c>
      <c r="L14" s="14">
        <f>IF($A14="","",IF($B14=$I14,1,0))</f>
        <v/>
      </c>
      <c r="M14" s="14">
        <f>IF($A14="","",IF(AND($C14=$J14,$D14=$K14),1,0))</f>
        <v/>
      </c>
      <c r="N14" s="14">
        <f>IF($A14="","",IFERROR(IF(INDEX(TICKETS_DATASET!$J$2:$J$301,MATCH($A14,TICKETS_DATASET!$A$2:$A$301,0))="ambigu",1,0),0))</f>
        <v/>
      </c>
      <c r="O14" s="14">
        <f>IF($A14="","",IF(OR($G14&lt;&gt;"",$L14=0,$M14=0),1,0))</f>
        <v/>
      </c>
    </row>
    <row r="15" ht="34" customHeight="1">
      <c r="A15" s="5" t="n"/>
      <c r="B15" s="5" t="n"/>
      <c r="C15" s="5" t="n"/>
      <c r="D15" s="5" t="n"/>
      <c r="E15" s="10" t="n"/>
      <c r="F15" s="11" t="n"/>
      <c r="G15" s="12" t="n"/>
      <c r="H15" s="12" t="n"/>
      <c r="I15" s="13">
        <f>IFERROR(INDEX(TICKETS_DATASET!$G$2:$G$301,MATCH($A15,TICKETS_DATASET!$A$2:$A$301,0)),"")</f>
        <v/>
      </c>
      <c r="J15" s="13">
        <f>IFERROR(INDEX(TICKETS_DATASET!$D$2:$D$301,MATCH($A15,TICKETS_DATASET!$A$2:$A$301,0)),"")</f>
        <v/>
      </c>
      <c r="K15" s="13">
        <f>IFERROR(INDEX(TICKETS_DATASET!$E$2:$E$301,MATCH($A15,TICKETS_DATASET!$A$2:$A$301,0)),"")</f>
        <v/>
      </c>
      <c r="L15" s="14">
        <f>IF($A15="","",IF($B15=$I15,1,0))</f>
        <v/>
      </c>
      <c r="M15" s="14">
        <f>IF($A15="","",IF(AND($C15=$J15,$D15=$K15),1,0))</f>
        <v/>
      </c>
      <c r="N15" s="14">
        <f>IF($A15="","",IFERROR(IF(INDEX(TICKETS_DATASET!$J$2:$J$301,MATCH($A15,TICKETS_DATASET!$A$2:$A$301,0))="ambigu",1,0),0))</f>
        <v/>
      </c>
      <c r="O15" s="14">
        <f>IF($A15="","",IF(OR($G15&lt;&gt;"",$L15=0,$M15=0),1,0))</f>
        <v/>
      </c>
    </row>
    <row r="16" ht="34" customHeight="1">
      <c r="A16" s="5" t="n"/>
      <c r="B16" s="5" t="n"/>
      <c r="C16" s="5" t="n"/>
      <c r="D16" s="5" t="n"/>
      <c r="E16" s="10" t="n"/>
      <c r="F16" s="11" t="n"/>
      <c r="G16" s="12" t="n"/>
      <c r="H16" s="12" t="n"/>
      <c r="I16" s="13">
        <f>IFERROR(INDEX(TICKETS_DATASET!$G$2:$G$301,MATCH($A16,TICKETS_DATASET!$A$2:$A$301,0)),"")</f>
        <v/>
      </c>
      <c r="J16" s="13">
        <f>IFERROR(INDEX(TICKETS_DATASET!$D$2:$D$301,MATCH($A16,TICKETS_DATASET!$A$2:$A$301,0)),"")</f>
        <v/>
      </c>
      <c r="K16" s="13">
        <f>IFERROR(INDEX(TICKETS_DATASET!$E$2:$E$301,MATCH($A16,TICKETS_DATASET!$A$2:$A$301,0)),"")</f>
        <v/>
      </c>
      <c r="L16" s="14">
        <f>IF($A16="","",IF($B16=$I16,1,0))</f>
        <v/>
      </c>
      <c r="M16" s="14">
        <f>IF($A16="","",IF(AND($C16=$J16,$D16=$K16),1,0))</f>
        <v/>
      </c>
      <c r="N16" s="14">
        <f>IF($A16="","",IFERROR(IF(INDEX(TICKETS_DATASET!$J$2:$J$301,MATCH($A16,TICKETS_DATASET!$A$2:$A$301,0))="ambigu",1,0),0))</f>
        <v/>
      </c>
      <c r="O16" s="14">
        <f>IF($A16="","",IF(OR($G16&lt;&gt;"",$L16=0,$M16=0),1,0))</f>
        <v/>
      </c>
    </row>
    <row r="17" ht="34" customHeight="1">
      <c r="A17" s="5" t="n"/>
      <c r="B17" s="5" t="n"/>
      <c r="C17" s="5" t="n"/>
      <c r="D17" s="5" t="n"/>
      <c r="E17" s="10" t="n"/>
      <c r="F17" s="11" t="n"/>
      <c r="G17" s="12" t="n"/>
      <c r="H17" s="12" t="n"/>
      <c r="I17" s="13">
        <f>IFERROR(INDEX(TICKETS_DATASET!$G$2:$G$301,MATCH($A17,TICKETS_DATASET!$A$2:$A$301,0)),"")</f>
        <v/>
      </c>
      <c r="J17" s="13">
        <f>IFERROR(INDEX(TICKETS_DATASET!$D$2:$D$301,MATCH($A17,TICKETS_DATASET!$A$2:$A$301,0)),"")</f>
        <v/>
      </c>
      <c r="K17" s="13">
        <f>IFERROR(INDEX(TICKETS_DATASET!$E$2:$E$301,MATCH($A17,TICKETS_DATASET!$A$2:$A$301,0)),"")</f>
        <v/>
      </c>
      <c r="L17" s="14">
        <f>IF($A17="","",IF($B17=$I17,1,0))</f>
        <v/>
      </c>
      <c r="M17" s="14">
        <f>IF($A17="","",IF(AND($C17=$J17,$D17=$K17),1,0))</f>
        <v/>
      </c>
      <c r="N17" s="14">
        <f>IF($A17="","",IFERROR(IF(INDEX(TICKETS_DATASET!$J$2:$J$301,MATCH($A17,TICKETS_DATASET!$A$2:$A$301,0))="ambigu",1,0),0))</f>
        <v/>
      </c>
      <c r="O17" s="14">
        <f>IF($A17="","",IF(OR($G17&lt;&gt;"",$L17=0,$M17=0),1,0))</f>
        <v/>
      </c>
    </row>
    <row r="18" ht="34" customHeight="1">
      <c r="A18" s="5" t="n"/>
      <c r="B18" s="5" t="n"/>
      <c r="C18" s="5" t="n"/>
      <c r="D18" s="5" t="n"/>
      <c r="E18" s="10" t="n"/>
      <c r="F18" s="11" t="n"/>
      <c r="G18" s="12" t="n"/>
      <c r="H18" s="12" t="n"/>
      <c r="I18" s="13">
        <f>IFERROR(INDEX(TICKETS_DATASET!$G$2:$G$301,MATCH($A18,TICKETS_DATASET!$A$2:$A$301,0)),"")</f>
        <v/>
      </c>
      <c r="J18" s="13">
        <f>IFERROR(INDEX(TICKETS_DATASET!$D$2:$D$301,MATCH($A18,TICKETS_DATASET!$A$2:$A$301,0)),"")</f>
        <v/>
      </c>
      <c r="K18" s="13">
        <f>IFERROR(INDEX(TICKETS_DATASET!$E$2:$E$301,MATCH($A18,TICKETS_DATASET!$A$2:$A$301,0)),"")</f>
        <v/>
      </c>
      <c r="L18" s="14">
        <f>IF($A18="","",IF($B18=$I18,1,0))</f>
        <v/>
      </c>
      <c r="M18" s="14">
        <f>IF($A18="","",IF(AND($C18=$J18,$D18=$K18),1,0))</f>
        <v/>
      </c>
      <c r="N18" s="14">
        <f>IF($A18="","",IFERROR(IF(INDEX(TICKETS_DATASET!$J$2:$J$301,MATCH($A18,TICKETS_DATASET!$A$2:$A$301,0))="ambigu",1,0),0))</f>
        <v/>
      </c>
      <c r="O18" s="14">
        <f>IF($A18="","",IF(OR($G18&lt;&gt;"",$L18=0,$M18=0),1,0))</f>
        <v/>
      </c>
    </row>
    <row r="19" ht="34" customHeight="1">
      <c r="A19" s="5" t="n"/>
      <c r="B19" s="5" t="n"/>
      <c r="C19" s="5" t="n"/>
      <c r="D19" s="5" t="n"/>
      <c r="E19" s="10" t="n"/>
      <c r="F19" s="11" t="n"/>
      <c r="G19" s="12" t="n"/>
      <c r="H19" s="12" t="n"/>
      <c r="I19" s="13">
        <f>IFERROR(INDEX(TICKETS_DATASET!$G$2:$G$301,MATCH($A19,TICKETS_DATASET!$A$2:$A$301,0)),"")</f>
        <v/>
      </c>
      <c r="J19" s="13">
        <f>IFERROR(INDEX(TICKETS_DATASET!$D$2:$D$301,MATCH($A19,TICKETS_DATASET!$A$2:$A$301,0)),"")</f>
        <v/>
      </c>
      <c r="K19" s="13">
        <f>IFERROR(INDEX(TICKETS_DATASET!$E$2:$E$301,MATCH($A19,TICKETS_DATASET!$A$2:$A$301,0)),"")</f>
        <v/>
      </c>
      <c r="L19" s="14">
        <f>IF($A19="","",IF($B19=$I19,1,0))</f>
        <v/>
      </c>
      <c r="M19" s="14">
        <f>IF($A19="","",IF(AND($C19=$J19,$D19=$K19),1,0))</f>
        <v/>
      </c>
      <c r="N19" s="14">
        <f>IF($A19="","",IFERROR(IF(INDEX(TICKETS_DATASET!$J$2:$J$301,MATCH($A19,TICKETS_DATASET!$A$2:$A$301,0))="ambigu",1,0),0))</f>
        <v/>
      </c>
      <c r="O19" s="14">
        <f>IF($A19="","",IF(OR($G19&lt;&gt;"",$L19=0,$M19=0),1,0))</f>
        <v/>
      </c>
    </row>
    <row r="20" ht="34" customHeight="1">
      <c r="A20" s="5" t="n"/>
      <c r="B20" s="5" t="n"/>
      <c r="C20" s="5" t="n"/>
      <c r="D20" s="5" t="n"/>
      <c r="E20" s="10" t="n"/>
      <c r="F20" s="11" t="n"/>
      <c r="G20" s="12" t="n"/>
      <c r="H20" s="12" t="n"/>
      <c r="I20" s="13">
        <f>IFERROR(INDEX(TICKETS_DATASET!$G$2:$G$301,MATCH($A20,TICKETS_DATASET!$A$2:$A$301,0)),"")</f>
        <v/>
      </c>
      <c r="J20" s="13">
        <f>IFERROR(INDEX(TICKETS_DATASET!$D$2:$D$301,MATCH($A20,TICKETS_DATASET!$A$2:$A$301,0)),"")</f>
        <v/>
      </c>
      <c r="K20" s="13">
        <f>IFERROR(INDEX(TICKETS_DATASET!$E$2:$E$301,MATCH($A20,TICKETS_DATASET!$A$2:$A$301,0)),"")</f>
        <v/>
      </c>
      <c r="L20" s="14">
        <f>IF($A20="","",IF($B20=$I20,1,0))</f>
        <v/>
      </c>
      <c r="M20" s="14">
        <f>IF($A20="","",IF(AND($C20=$J20,$D20=$K20),1,0))</f>
        <v/>
      </c>
      <c r="N20" s="14">
        <f>IF($A20="","",IFERROR(IF(INDEX(TICKETS_DATASET!$J$2:$J$301,MATCH($A20,TICKETS_DATASET!$A$2:$A$301,0))="ambigu",1,0),0))</f>
        <v/>
      </c>
      <c r="O20" s="14">
        <f>IF($A20="","",IF(OR($G20&lt;&gt;"",$L20=0,$M20=0),1,0))</f>
        <v/>
      </c>
    </row>
    <row r="21" ht="34" customHeight="1">
      <c r="A21" s="5" t="n"/>
      <c r="B21" s="5" t="n"/>
      <c r="C21" s="5" t="n"/>
      <c r="D21" s="5" t="n"/>
      <c r="E21" s="10" t="n"/>
      <c r="F21" s="11" t="n"/>
      <c r="G21" s="12" t="n"/>
      <c r="H21" s="12" t="n"/>
      <c r="I21" s="13">
        <f>IFERROR(INDEX(TICKETS_DATASET!$G$2:$G$301,MATCH($A21,TICKETS_DATASET!$A$2:$A$301,0)),"")</f>
        <v/>
      </c>
      <c r="J21" s="13">
        <f>IFERROR(INDEX(TICKETS_DATASET!$D$2:$D$301,MATCH($A21,TICKETS_DATASET!$A$2:$A$301,0)),"")</f>
        <v/>
      </c>
      <c r="K21" s="13">
        <f>IFERROR(INDEX(TICKETS_DATASET!$E$2:$E$301,MATCH($A21,TICKETS_DATASET!$A$2:$A$301,0)),"")</f>
        <v/>
      </c>
      <c r="L21" s="14">
        <f>IF($A21="","",IF($B21=$I21,1,0))</f>
        <v/>
      </c>
      <c r="M21" s="14">
        <f>IF($A21="","",IF(AND($C21=$J21,$D21=$K21),1,0))</f>
        <v/>
      </c>
      <c r="N21" s="14">
        <f>IF($A21="","",IFERROR(IF(INDEX(TICKETS_DATASET!$J$2:$J$301,MATCH($A21,TICKETS_DATASET!$A$2:$A$301,0))="ambigu",1,0),0))</f>
        <v/>
      </c>
      <c r="O21" s="14">
        <f>IF($A21="","",IF(OR($G21&lt;&gt;"",$L21=0,$M21=0),1,0))</f>
        <v/>
      </c>
    </row>
    <row r="22" ht="34" customHeight="1">
      <c r="A22" s="5" t="n"/>
      <c r="B22" s="5" t="n"/>
      <c r="C22" s="5" t="n"/>
      <c r="D22" s="5" t="n"/>
      <c r="E22" s="10" t="n"/>
      <c r="F22" s="11" t="n"/>
      <c r="G22" s="12" t="n"/>
      <c r="H22" s="12" t="n"/>
      <c r="I22" s="13">
        <f>IFERROR(INDEX(TICKETS_DATASET!$G$2:$G$301,MATCH($A22,TICKETS_DATASET!$A$2:$A$301,0)),"")</f>
        <v/>
      </c>
      <c r="J22" s="13">
        <f>IFERROR(INDEX(TICKETS_DATASET!$D$2:$D$301,MATCH($A22,TICKETS_DATASET!$A$2:$A$301,0)),"")</f>
        <v/>
      </c>
      <c r="K22" s="13">
        <f>IFERROR(INDEX(TICKETS_DATASET!$E$2:$E$301,MATCH($A22,TICKETS_DATASET!$A$2:$A$301,0)),"")</f>
        <v/>
      </c>
      <c r="L22" s="14">
        <f>IF($A22="","",IF($B22=$I22,1,0))</f>
        <v/>
      </c>
      <c r="M22" s="14">
        <f>IF($A22="","",IF(AND($C22=$J22,$D22=$K22),1,0))</f>
        <v/>
      </c>
      <c r="N22" s="14">
        <f>IF($A22="","",IFERROR(IF(INDEX(TICKETS_DATASET!$J$2:$J$301,MATCH($A22,TICKETS_DATASET!$A$2:$A$301,0))="ambigu",1,0),0))</f>
        <v/>
      </c>
      <c r="O22" s="14">
        <f>IF($A22="","",IF(OR($G22&lt;&gt;"",$L22=0,$M22=0),1,0))</f>
        <v/>
      </c>
    </row>
    <row r="23" ht="34" customHeight="1">
      <c r="A23" s="5" t="n"/>
      <c r="B23" s="5" t="n"/>
      <c r="C23" s="5" t="n"/>
      <c r="D23" s="5" t="n"/>
      <c r="E23" s="10" t="n"/>
      <c r="F23" s="11" t="n"/>
      <c r="G23" s="12" t="n"/>
      <c r="H23" s="12" t="n"/>
      <c r="I23" s="13">
        <f>IFERROR(INDEX(TICKETS_DATASET!$G$2:$G$301,MATCH($A23,TICKETS_DATASET!$A$2:$A$301,0)),"")</f>
        <v/>
      </c>
      <c r="J23" s="13">
        <f>IFERROR(INDEX(TICKETS_DATASET!$D$2:$D$301,MATCH($A23,TICKETS_DATASET!$A$2:$A$301,0)),"")</f>
        <v/>
      </c>
      <c r="K23" s="13">
        <f>IFERROR(INDEX(TICKETS_DATASET!$E$2:$E$301,MATCH($A23,TICKETS_DATASET!$A$2:$A$301,0)),"")</f>
        <v/>
      </c>
      <c r="L23" s="14">
        <f>IF($A23="","",IF($B23=$I23,1,0))</f>
        <v/>
      </c>
      <c r="M23" s="14">
        <f>IF($A23="","",IF(AND($C23=$J23,$D23=$K23),1,0))</f>
        <v/>
      </c>
      <c r="N23" s="14">
        <f>IF($A23="","",IFERROR(IF(INDEX(TICKETS_DATASET!$J$2:$J$301,MATCH($A23,TICKETS_DATASET!$A$2:$A$301,0))="ambigu",1,0),0))</f>
        <v/>
      </c>
      <c r="O23" s="14">
        <f>IF($A23="","",IF(OR($G23&lt;&gt;"",$L23=0,$M23=0),1,0))</f>
        <v/>
      </c>
    </row>
    <row r="24" ht="34" customHeight="1">
      <c r="A24" s="5" t="n"/>
      <c r="B24" s="5" t="n"/>
      <c r="C24" s="5" t="n"/>
      <c r="D24" s="5" t="n"/>
      <c r="E24" s="10" t="n"/>
      <c r="F24" s="11" t="n"/>
      <c r="G24" s="12" t="n"/>
      <c r="H24" s="12" t="n"/>
      <c r="I24" s="13">
        <f>IFERROR(INDEX(TICKETS_DATASET!$G$2:$G$301,MATCH($A24,TICKETS_DATASET!$A$2:$A$301,0)),"")</f>
        <v/>
      </c>
      <c r="J24" s="13">
        <f>IFERROR(INDEX(TICKETS_DATASET!$D$2:$D$301,MATCH($A24,TICKETS_DATASET!$A$2:$A$301,0)),"")</f>
        <v/>
      </c>
      <c r="K24" s="13">
        <f>IFERROR(INDEX(TICKETS_DATASET!$E$2:$E$301,MATCH($A24,TICKETS_DATASET!$A$2:$A$301,0)),"")</f>
        <v/>
      </c>
      <c r="L24" s="14">
        <f>IF($A24="","",IF($B24=$I24,1,0))</f>
        <v/>
      </c>
      <c r="M24" s="14">
        <f>IF($A24="","",IF(AND($C24=$J24,$D24=$K24),1,0))</f>
        <v/>
      </c>
      <c r="N24" s="14">
        <f>IF($A24="","",IFERROR(IF(INDEX(TICKETS_DATASET!$J$2:$J$301,MATCH($A24,TICKETS_DATASET!$A$2:$A$301,0))="ambigu",1,0),0))</f>
        <v/>
      </c>
      <c r="O24" s="14">
        <f>IF($A24="","",IF(OR($G24&lt;&gt;"",$L24=0,$M24=0),1,0))</f>
        <v/>
      </c>
    </row>
    <row r="25" ht="34" customHeight="1">
      <c r="A25" s="5" t="n"/>
      <c r="B25" s="5" t="n"/>
      <c r="C25" s="5" t="n"/>
      <c r="D25" s="5" t="n"/>
      <c r="E25" s="10" t="n"/>
      <c r="F25" s="11" t="n"/>
      <c r="G25" s="12" t="n"/>
      <c r="H25" s="12" t="n"/>
      <c r="I25" s="13">
        <f>IFERROR(INDEX(TICKETS_DATASET!$G$2:$G$301,MATCH($A25,TICKETS_DATASET!$A$2:$A$301,0)),"")</f>
        <v/>
      </c>
      <c r="J25" s="13">
        <f>IFERROR(INDEX(TICKETS_DATASET!$D$2:$D$301,MATCH($A25,TICKETS_DATASET!$A$2:$A$301,0)),"")</f>
        <v/>
      </c>
      <c r="K25" s="13">
        <f>IFERROR(INDEX(TICKETS_DATASET!$E$2:$E$301,MATCH($A25,TICKETS_DATASET!$A$2:$A$301,0)),"")</f>
        <v/>
      </c>
      <c r="L25" s="14">
        <f>IF($A25="","",IF($B25=$I25,1,0))</f>
        <v/>
      </c>
      <c r="M25" s="14">
        <f>IF($A25="","",IF(AND($C25=$J25,$D25=$K25),1,0))</f>
        <v/>
      </c>
      <c r="N25" s="14">
        <f>IF($A25="","",IFERROR(IF(INDEX(TICKETS_DATASET!$J$2:$J$301,MATCH($A25,TICKETS_DATASET!$A$2:$A$301,0))="ambigu",1,0),0))</f>
        <v/>
      </c>
      <c r="O25" s="14">
        <f>IF($A25="","",IF(OR($G25&lt;&gt;"",$L25=0,$M25=0),1,0))</f>
        <v/>
      </c>
    </row>
    <row r="26" ht="34" customHeight="1">
      <c r="A26" s="5" t="n"/>
      <c r="B26" s="5" t="n"/>
      <c r="C26" s="5" t="n"/>
      <c r="D26" s="5" t="n"/>
      <c r="E26" s="10" t="n"/>
      <c r="F26" s="11" t="n"/>
      <c r="G26" s="12" t="n"/>
      <c r="H26" s="12" t="n"/>
      <c r="I26" s="13">
        <f>IFERROR(INDEX(TICKETS_DATASET!$G$2:$G$301,MATCH($A26,TICKETS_DATASET!$A$2:$A$301,0)),"")</f>
        <v/>
      </c>
      <c r="J26" s="13">
        <f>IFERROR(INDEX(TICKETS_DATASET!$D$2:$D$301,MATCH($A26,TICKETS_DATASET!$A$2:$A$301,0)),"")</f>
        <v/>
      </c>
      <c r="K26" s="13">
        <f>IFERROR(INDEX(TICKETS_DATASET!$E$2:$E$301,MATCH($A26,TICKETS_DATASET!$A$2:$A$301,0)),"")</f>
        <v/>
      </c>
      <c r="L26" s="14">
        <f>IF($A26="","",IF($B26=$I26,1,0))</f>
        <v/>
      </c>
      <c r="M26" s="14">
        <f>IF($A26="","",IF(AND($C26=$J26,$D26=$K26),1,0))</f>
        <v/>
      </c>
      <c r="N26" s="14">
        <f>IF($A26="","",IFERROR(IF(INDEX(TICKETS_DATASET!$J$2:$J$301,MATCH($A26,TICKETS_DATASET!$A$2:$A$301,0))="ambigu",1,0),0))</f>
        <v/>
      </c>
      <c r="O26" s="14">
        <f>IF($A26="","",IF(OR($G26&lt;&gt;"",$L26=0,$M26=0),1,0))</f>
        <v/>
      </c>
    </row>
    <row r="27" ht="34" customHeight="1">
      <c r="A27" s="5" t="n"/>
      <c r="B27" s="5" t="n"/>
      <c r="C27" s="5" t="n"/>
      <c r="D27" s="5" t="n"/>
      <c r="E27" s="10" t="n"/>
      <c r="F27" s="11" t="n"/>
      <c r="G27" s="12" t="n"/>
      <c r="H27" s="12" t="n"/>
      <c r="I27" s="13">
        <f>IFERROR(INDEX(TICKETS_DATASET!$G$2:$G$301,MATCH($A27,TICKETS_DATASET!$A$2:$A$301,0)),"")</f>
        <v/>
      </c>
      <c r="J27" s="13">
        <f>IFERROR(INDEX(TICKETS_DATASET!$D$2:$D$301,MATCH($A27,TICKETS_DATASET!$A$2:$A$301,0)),"")</f>
        <v/>
      </c>
      <c r="K27" s="13">
        <f>IFERROR(INDEX(TICKETS_DATASET!$E$2:$E$301,MATCH($A27,TICKETS_DATASET!$A$2:$A$301,0)),"")</f>
        <v/>
      </c>
      <c r="L27" s="14">
        <f>IF($A27="","",IF($B27=$I27,1,0))</f>
        <v/>
      </c>
      <c r="M27" s="14">
        <f>IF($A27="","",IF(AND($C27=$J27,$D27=$K27),1,0))</f>
        <v/>
      </c>
      <c r="N27" s="14">
        <f>IF($A27="","",IFERROR(IF(INDEX(TICKETS_DATASET!$J$2:$J$301,MATCH($A27,TICKETS_DATASET!$A$2:$A$301,0))="ambigu",1,0),0))</f>
        <v/>
      </c>
      <c r="O27" s="14">
        <f>IF($A27="","",IF(OR($G27&lt;&gt;"",$L27=0,$M27=0),1,0))</f>
        <v/>
      </c>
    </row>
    <row r="28" ht="34" customHeight="1">
      <c r="A28" s="5" t="n"/>
      <c r="B28" s="5" t="n"/>
      <c r="C28" s="5" t="n"/>
      <c r="D28" s="5" t="n"/>
      <c r="E28" s="10" t="n"/>
      <c r="F28" s="11" t="n"/>
      <c r="G28" s="12" t="n"/>
      <c r="H28" s="12" t="n"/>
      <c r="I28" s="13">
        <f>IFERROR(INDEX(TICKETS_DATASET!$G$2:$G$301,MATCH($A28,TICKETS_DATASET!$A$2:$A$301,0)),"")</f>
        <v/>
      </c>
      <c r="J28" s="13">
        <f>IFERROR(INDEX(TICKETS_DATASET!$D$2:$D$301,MATCH($A28,TICKETS_DATASET!$A$2:$A$301,0)),"")</f>
        <v/>
      </c>
      <c r="K28" s="13">
        <f>IFERROR(INDEX(TICKETS_DATASET!$E$2:$E$301,MATCH($A28,TICKETS_DATASET!$A$2:$A$301,0)),"")</f>
        <v/>
      </c>
      <c r="L28" s="14">
        <f>IF($A28="","",IF($B28=$I28,1,0))</f>
        <v/>
      </c>
      <c r="M28" s="14">
        <f>IF($A28="","",IF(AND($C28=$J28,$D28=$K28),1,0))</f>
        <v/>
      </c>
      <c r="N28" s="14">
        <f>IF($A28="","",IFERROR(IF(INDEX(TICKETS_DATASET!$J$2:$J$301,MATCH($A28,TICKETS_DATASET!$A$2:$A$301,0))="ambigu",1,0),0))</f>
        <v/>
      </c>
      <c r="O28" s="14">
        <f>IF($A28="","",IF(OR($G28&lt;&gt;"",$L28=0,$M28=0),1,0))</f>
        <v/>
      </c>
    </row>
    <row r="29" ht="34" customHeight="1">
      <c r="A29" s="5" t="n"/>
      <c r="B29" s="5" t="n"/>
      <c r="C29" s="5" t="n"/>
      <c r="D29" s="5" t="n"/>
      <c r="E29" s="10" t="n"/>
      <c r="F29" s="11" t="n"/>
      <c r="G29" s="12" t="n"/>
      <c r="H29" s="12" t="n"/>
      <c r="I29" s="13">
        <f>IFERROR(INDEX(TICKETS_DATASET!$G$2:$G$301,MATCH($A29,TICKETS_DATASET!$A$2:$A$301,0)),"")</f>
        <v/>
      </c>
      <c r="J29" s="13">
        <f>IFERROR(INDEX(TICKETS_DATASET!$D$2:$D$301,MATCH($A29,TICKETS_DATASET!$A$2:$A$301,0)),"")</f>
        <v/>
      </c>
      <c r="K29" s="13">
        <f>IFERROR(INDEX(TICKETS_DATASET!$E$2:$E$301,MATCH($A29,TICKETS_DATASET!$A$2:$A$301,0)),"")</f>
        <v/>
      </c>
      <c r="L29" s="14">
        <f>IF($A29="","",IF($B29=$I29,1,0))</f>
        <v/>
      </c>
      <c r="M29" s="14">
        <f>IF($A29="","",IF(AND($C29=$J29,$D29=$K29),1,0))</f>
        <v/>
      </c>
      <c r="N29" s="14">
        <f>IF($A29="","",IFERROR(IF(INDEX(TICKETS_DATASET!$J$2:$J$301,MATCH($A29,TICKETS_DATASET!$A$2:$A$301,0))="ambigu",1,0),0))</f>
        <v/>
      </c>
      <c r="O29" s="14">
        <f>IF($A29="","",IF(OR($G29&lt;&gt;"",$L29=0,$M29=0),1,0))</f>
        <v/>
      </c>
    </row>
    <row r="30" ht="34" customHeight="1">
      <c r="A30" s="5" t="n"/>
      <c r="B30" s="5" t="n"/>
      <c r="C30" s="5" t="n"/>
      <c r="D30" s="5" t="n"/>
      <c r="E30" s="10" t="n"/>
      <c r="F30" s="11" t="n"/>
      <c r="G30" s="12" t="n"/>
      <c r="H30" s="12" t="n"/>
      <c r="I30" s="13">
        <f>IFERROR(INDEX(TICKETS_DATASET!$G$2:$G$301,MATCH($A30,TICKETS_DATASET!$A$2:$A$301,0)),"")</f>
        <v/>
      </c>
      <c r="J30" s="13">
        <f>IFERROR(INDEX(TICKETS_DATASET!$D$2:$D$301,MATCH($A30,TICKETS_DATASET!$A$2:$A$301,0)),"")</f>
        <v/>
      </c>
      <c r="K30" s="13">
        <f>IFERROR(INDEX(TICKETS_DATASET!$E$2:$E$301,MATCH($A30,TICKETS_DATASET!$A$2:$A$301,0)),"")</f>
        <v/>
      </c>
      <c r="L30" s="14">
        <f>IF($A30="","",IF($B30=$I30,1,0))</f>
        <v/>
      </c>
      <c r="M30" s="14">
        <f>IF($A30="","",IF(AND($C30=$J30,$D30=$K30),1,0))</f>
        <v/>
      </c>
      <c r="N30" s="14">
        <f>IF($A30="","",IFERROR(IF(INDEX(TICKETS_DATASET!$J$2:$J$301,MATCH($A30,TICKETS_DATASET!$A$2:$A$301,0))="ambigu",1,0),0))</f>
        <v/>
      </c>
      <c r="O30" s="14">
        <f>IF($A30="","",IF(OR($G30&lt;&gt;"",$L30=0,$M30=0),1,0))</f>
        <v/>
      </c>
    </row>
    <row r="31" ht="34" customHeight="1">
      <c r="A31" s="5" t="n"/>
      <c r="B31" s="5" t="n"/>
      <c r="C31" s="5" t="n"/>
      <c r="D31" s="5" t="n"/>
      <c r="E31" s="10" t="n"/>
      <c r="F31" s="11" t="n"/>
      <c r="G31" s="12" t="n"/>
      <c r="H31" s="12" t="n"/>
      <c r="I31" s="13">
        <f>IFERROR(INDEX(TICKETS_DATASET!$G$2:$G$301,MATCH($A31,TICKETS_DATASET!$A$2:$A$301,0)),"")</f>
        <v/>
      </c>
      <c r="J31" s="13">
        <f>IFERROR(INDEX(TICKETS_DATASET!$D$2:$D$301,MATCH($A31,TICKETS_DATASET!$A$2:$A$301,0)),"")</f>
        <v/>
      </c>
      <c r="K31" s="13">
        <f>IFERROR(INDEX(TICKETS_DATASET!$E$2:$E$301,MATCH($A31,TICKETS_DATASET!$A$2:$A$301,0)),"")</f>
        <v/>
      </c>
      <c r="L31" s="14">
        <f>IF($A31="","",IF($B31=$I31,1,0))</f>
        <v/>
      </c>
      <c r="M31" s="14">
        <f>IF($A31="","",IF(AND($C31=$J31,$D31=$K31),1,0))</f>
        <v/>
      </c>
      <c r="N31" s="14">
        <f>IF($A31="","",IFERROR(IF(INDEX(TICKETS_DATASET!$J$2:$J$301,MATCH($A31,TICKETS_DATASET!$A$2:$A$301,0))="ambigu",1,0),0))</f>
        <v/>
      </c>
      <c r="O31" s="14">
        <f>IF($A31="","",IF(OR($G31&lt;&gt;"",$L31=0,$M31=0),1,0))</f>
        <v/>
      </c>
    </row>
    <row r="32" ht="34" customHeight="1">
      <c r="A32" s="5" t="n"/>
      <c r="B32" s="5" t="n"/>
      <c r="C32" s="5" t="n"/>
      <c r="D32" s="5" t="n"/>
      <c r="E32" s="10" t="n"/>
      <c r="F32" s="11" t="n"/>
      <c r="G32" s="12" t="n"/>
      <c r="H32" s="12" t="n"/>
      <c r="I32" s="13">
        <f>IFERROR(INDEX(TICKETS_DATASET!$G$2:$G$301,MATCH($A32,TICKETS_DATASET!$A$2:$A$301,0)),"")</f>
        <v/>
      </c>
      <c r="J32" s="13">
        <f>IFERROR(INDEX(TICKETS_DATASET!$D$2:$D$301,MATCH($A32,TICKETS_DATASET!$A$2:$A$301,0)),"")</f>
        <v/>
      </c>
      <c r="K32" s="13">
        <f>IFERROR(INDEX(TICKETS_DATASET!$E$2:$E$301,MATCH($A32,TICKETS_DATASET!$A$2:$A$301,0)),"")</f>
        <v/>
      </c>
      <c r="L32" s="14">
        <f>IF($A32="","",IF($B32=$I32,1,0))</f>
        <v/>
      </c>
      <c r="M32" s="14">
        <f>IF($A32="","",IF(AND($C32=$J32,$D32=$K32),1,0))</f>
        <v/>
      </c>
      <c r="N32" s="14">
        <f>IF($A32="","",IFERROR(IF(INDEX(TICKETS_DATASET!$J$2:$J$301,MATCH($A32,TICKETS_DATASET!$A$2:$A$301,0))="ambigu",1,0),0))</f>
        <v/>
      </c>
      <c r="O32" s="14">
        <f>IF($A32="","",IF(OR($G32&lt;&gt;"",$L32=0,$M32=0),1,0))</f>
        <v/>
      </c>
    </row>
    <row r="33" ht="34" customHeight="1">
      <c r="A33" s="5" t="n"/>
      <c r="B33" s="5" t="n"/>
      <c r="C33" s="5" t="n"/>
      <c r="D33" s="5" t="n"/>
      <c r="E33" s="10" t="n"/>
      <c r="F33" s="11" t="n"/>
      <c r="G33" s="12" t="n"/>
      <c r="H33" s="12" t="n"/>
      <c r="I33" s="13">
        <f>IFERROR(INDEX(TICKETS_DATASET!$G$2:$G$301,MATCH($A33,TICKETS_DATASET!$A$2:$A$301,0)),"")</f>
        <v/>
      </c>
      <c r="J33" s="13">
        <f>IFERROR(INDEX(TICKETS_DATASET!$D$2:$D$301,MATCH($A33,TICKETS_DATASET!$A$2:$A$301,0)),"")</f>
        <v/>
      </c>
      <c r="K33" s="13">
        <f>IFERROR(INDEX(TICKETS_DATASET!$E$2:$E$301,MATCH($A33,TICKETS_DATASET!$A$2:$A$301,0)),"")</f>
        <v/>
      </c>
      <c r="L33" s="14">
        <f>IF($A33="","",IF($B33=$I33,1,0))</f>
        <v/>
      </c>
      <c r="M33" s="14">
        <f>IF($A33="","",IF(AND($C33=$J33,$D33=$K33),1,0))</f>
        <v/>
      </c>
      <c r="N33" s="14">
        <f>IF($A33="","",IFERROR(IF(INDEX(TICKETS_DATASET!$J$2:$J$301,MATCH($A33,TICKETS_DATASET!$A$2:$A$301,0))="ambigu",1,0),0))</f>
        <v/>
      </c>
      <c r="O33" s="14">
        <f>IF($A33="","",IF(OR($G33&lt;&gt;"",$L33=0,$M33=0),1,0))</f>
        <v/>
      </c>
    </row>
    <row r="34" ht="34" customHeight="1">
      <c r="A34" s="5" t="n"/>
      <c r="B34" s="5" t="n"/>
      <c r="C34" s="5" t="n"/>
      <c r="D34" s="5" t="n"/>
      <c r="E34" s="10" t="n"/>
      <c r="F34" s="11" t="n"/>
      <c r="G34" s="12" t="n"/>
      <c r="H34" s="12" t="n"/>
      <c r="I34" s="13">
        <f>IFERROR(INDEX(TICKETS_DATASET!$G$2:$G$301,MATCH($A34,TICKETS_DATASET!$A$2:$A$301,0)),"")</f>
        <v/>
      </c>
      <c r="J34" s="13">
        <f>IFERROR(INDEX(TICKETS_DATASET!$D$2:$D$301,MATCH($A34,TICKETS_DATASET!$A$2:$A$301,0)),"")</f>
        <v/>
      </c>
      <c r="K34" s="13">
        <f>IFERROR(INDEX(TICKETS_DATASET!$E$2:$E$301,MATCH($A34,TICKETS_DATASET!$A$2:$A$301,0)),"")</f>
        <v/>
      </c>
      <c r="L34" s="14">
        <f>IF($A34="","",IF($B34=$I34,1,0))</f>
        <v/>
      </c>
      <c r="M34" s="14">
        <f>IF($A34="","",IF(AND($C34=$J34,$D34=$K34),1,0))</f>
        <v/>
      </c>
      <c r="N34" s="14">
        <f>IF($A34="","",IFERROR(IF(INDEX(TICKETS_DATASET!$J$2:$J$301,MATCH($A34,TICKETS_DATASET!$A$2:$A$301,0))="ambigu",1,0),0))</f>
        <v/>
      </c>
      <c r="O34" s="14">
        <f>IF($A34="","",IF(OR($G34&lt;&gt;"",$L34=0,$M34=0),1,0))</f>
        <v/>
      </c>
    </row>
    <row r="35" ht="34" customHeight="1">
      <c r="A35" s="5" t="n"/>
      <c r="B35" s="5" t="n"/>
      <c r="C35" s="5" t="n"/>
      <c r="D35" s="5" t="n"/>
      <c r="E35" s="10" t="n"/>
      <c r="F35" s="11" t="n"/>
      <c r="G35" s="12" t="n"/>
      <c r="H35" s="12" t="n"/>
      <c r="I35" s="13">
        <f>IFERROR(INDEX(TICKETS_DATASET!$G$2:$G$301,MATCH($A35,TICKETS_DATASET!$A$2:$A$301,0)),"")</f>
        <v/>
      </c>
      <c r="J35" s="13">
        <f>IFERROR(INDEX(TICKETS_DATASET!$D$2:$D$301,MATCH($A35,TICKETS_DATASET!$A$2:$A$301,0)),"")</f>
        <v/>
      </c>
      <c r="K35" s="13">
        <f>IFERROR(INDEX(TICKETS_DATASET!$E$2:$E$301,MATCH($A35,TICKETS_DATASET!$A$2:$A$301,0)),"")</f>
        <v/>
      </c>
      <c r="L35" s="14">
        <f>IF($A35="","",IF($B35=$I35,1,0))</f>
        <v/>
      </c>
      <c r="M35" s="14">
        <f>IF($A35="","",IF(AND($C35=$J35,$D35=$K35),1,0))</f>
        <v/>
      </c>
      <c r="N35" s="14">
        <f>IF($A35="","",IFERROR(IF(INDEX(TICKETS_DATASET!$J$2:$J$301,MATCH($A35,TICKETS_DATASET!$A$2:$A$301,0))="ambigu",1,0),0))</f>
        <v/>
      </c>
      <c r="O35" s="14">
        <f>IF($A35="","",IF(OR($G35&lt;&gt;"",$L35=0,$M35=0),1,0))</f>
        <v/>
      </c>
    </row>
    <row r="36" ht="34" customHeight="1">
      <c r="A36" s="5" t="n"/>
      <c r="B36" s="5" t="n"/>
      <c r="C36" s="5" t="n"/>
      <c r="D36" s="5" t="n"/>
      <c r="E36" s="10" t="n"/>
      <c r="F36" s="11" t="n"/>
      <c r="G36" s="12" t="n"/>
      <c r="H36" s="12" t="n"/>
      <c r="I36" s="13">
        <f>IFERROR(INDEX(TICKETS_DATASET!$G$2:$G$301,MATCH($A36,TICKETS_DATASET!$A$2:$A$301,0)),"")</f>
        <v/>
      </c>
      <c r="J36" s="13">
        <f>IFERROR(INDEX(TICKETS_DATASET!$D$2:$D$301,MATCH($A36,TICKETS_DATASET!$A$2:$A$301,0)),"")</f>
        <v/>
      </c>
      <c r="K36" s="13">
        <f>IFERROR(INDEX(TICKETS_DATASET!$E$2:$E$301,MATCH($A36,TICKETS_DATASET!$A$2:$A$301,0)),"")</f>
        <v/>
      </c>
      <c r="L36" s="14">
        <f>IF($A36="","",IF($B36=$I36,1,0))</f>
        <v/>
      </c>
      <c r="M36" s="14">
        <f>IF($A36="","",IF(AND($C36=$J36,$D36=$K36),1,0))</f>
        <v/>
      </c>
      <c r="N36" s="14">
        <f>IF($A36="","",IFERROR(IF(INDEX(TICKETS_DATASET!$J$2:$J$301,MATCH($A36,TICKETS_DATASET!$A$2:$A$301,0))="ambigu",1,0),0))</f>
        <v/>
      </c>
      <c r="O36" s="14">
        <f>IF($A36="","",IF(OR($G36&lt;&gt;"",$L36=0,$M36=0),1,0))</f>
        <v/>
      </c>
    </row>
    <row r="37" ht="34" customHeight="1">
      <c r="A37" s="5" t="n"/>
      <c r="B37" s="5" t="n"/>
      <c r="C37" s="5" t="n"/>
      <c r="D37" s="5" t="n"/>
      <c r="E37" s="10" t="n"/>
      <c r="F37" s="11" t="n"/>
      <c r="G37" s="12" t="n"/>
      <c r="H37" s="12" t="n"/>
      <c r="I37" s="13">
        <f>IFERROR(INDEX(TICKETS_DATASET!$G$2:$G$301,MATCH($A37,TICKETS_DATASET!$A$2:$A$301,0)),"")</f>
        <v/>
      </c>
      <c r="J37" s="13">
        <f>IFERROR(INDEX(TICKETS_DATASET!$D$2:$D$301,MATCH($A37,TICKETS_DATASET!$A$2:$A$301,0)),"")</f>
        <v/>
      </c>
      <c r="K37" s="13">
        <f>IFERROR(INDEX(TICKETS_DATASET!$E$2:$E$301,MATCH($A37,TICKETS_DATASET!$A$2:$A$301,0)),"")</f>
        <v/>
      </c>
      <c r="L37" s="14">
        <f>IF($A37="","",IF($B37=$I37,1,0))</f>
        <v/>
      </c>
      <c r="M37" s="14">
        <f>IF($A37="","",IF(AND($C37=$J37,$D37=$K37),1,0))</f>
        <v/>
      </c>
      <c r="N37" s="14">
        <f>IF($A37="","",IFERROR(IF(INDEX(TICKETS_DATASET!$J$2:$J$301,MATCH($A37,TICKETS_DATASET!$A$2:$A$301,0))="ambigu",1,0),0))</f>
        <v/>
      </c>
      <c r="O37" s="14">
        <f>IF($A37="","",IF(OR($G37&lt;&gt;"",$L37=0,$M37=0),1,0))</f>
        <v/>
      </c>
    </row>
    <row r="38" ht="34" customHeight="1">
      <c r="A38" s="5" t="n"/>
      <c r="B38" s="5" t="n"/>
      <c r="C38" s="5" t="n"/>
      <c r="D38" s="5" t="n"/>
      <c r="E38" s="10" t="n"/>
      <c r="F38" s="11" t="n"/>
      <c r="G38" s="12" t="n"/>
      <c r="H38" s="12" t="n"/>
      <c r="I38" s="13">
        <f>IFERROR(INDEX(TICKETS_DATASET!$G$2:$G$301,MATCH($A38,TICKETS_DATASET!$A$2:$A$301,0)),"")</f>
        <v/>
      </c>
      <c r="J38" s="13">
        <f>IFERROR(INDEX(TICKETS_DATASET!$D$2:$D$301,MATCH($A38,TICKETS_DATASET!$A$2:$A$301,0)),"")</f>
        <v/>
      </c>
      <c r="K38" s="13">
        <f>IFERROR(INDEX(TICKETS_DATASET!$E$2:$E$301,MATCH($A38,TICKETS_DATASET!$A$2:$A$301,0)),"")</f>
        <v/>
      </c>
      <c r="L38" s="14">
        <f>IF($A38="","",IF($B38=$I38,1,0))</f>
        <v/>
      </c>
      <c r="M38" s="14">
        <f>IF($A38="","",IF(AND($C38=$J38,$D38=$K38),1,0))</f>
        <v/>
      </c>
      <c r="N38" s="14">
        <f>IF($A38="","",IFERROR(IF(INDEX(TICKETS_DATASET!$J$2:$J$301,MATCH($A38,TICKETS_DATASET!$A$2:$A$301,0))="ambigu",1,0),0))</f>
        <v/>
      </c>
      <c r="O38" s="14">
        <f>IF($A38="","",IF(OR($G38&lt;&gt;"",$L38=0,$M38=0),1,0))</f>
        <v/>
      </c>
    </row>
    <row r="39" ht="34" customHeight="1">
      <c r="A39" s="5" t="n"/>
      <c r="B39" s="5" t="n"/>
      <c r="C39" s="5" t="n"/>
      <c r="D39" s="5" t="n"/>
      <c r="E39" s="10" t="n"/>
      <c r="F39" s="11" t="n"/>
      <c r="G39" s="12" t="n"/>
      <c r="H39" s="12" t="n"/>
      <c r="I39" s="13">
        <f>IFERROR(INDEX(TICKETS_DATASET!$G$2:$G$301,MATCH($A39,TICKETS_DATASET!$A$2:$A$301,0)),"")</f>
        <v/>
      </c>
      <c r="J39" s="13">
        <f>IFERROR(INDEX(TICKETS_DATASET!$D$2:$D$301,MATCH($A39,TICKETS_DATASET!$A$2:$A$301,0)),"")</f>
        <v/>
      </c>
      <c r="K39" s="13">
        <f>IFERROR(INDEX(TICKETS_DATASET!$E$2:$E$301,MATCH($A39,TICKETS_DATASET!$A$2:$A$301,0)),"")</f>
        <v/>
      </c>
      <c r="L39" s="14">
        <f>IF($A39="","",IF($B39=$I39,1,0))</f>
        <v/>
      </c>
      <c r="M39" s="14">
        <f>IF($A39="","",IF(AND($C39=$J39,$D39=$K39),1,0))</f>
        <v/>
      </c>
      <c r="N39" s="14">
        <f>IF($A39="","",IFERROR(IF(INDEX(TICKETS_DATASET!$J$2:$J$301,MATCH($A39,TICKETS_DATASET!$A$2:$A$301,0))="ambigu",1,0),0))</f>
        <v/>
      </c>
      <c r="O39" s="14">
        <f>IF($A39="","",IF(OR($G39&lt;&gt;"",$L39=0,$M39=0),1,0))</f>
        <v/>
      </c>
    </row>
    <row r="40" ht="34" customHeight="1">
      <c r="A40" s="5" t="n"/>
      <c r="B40" s="5" t="n"/>
      <c r="C40" s="5" t="n"/>
      <c r="D40" s="5" t="n"/>
      <c r="E40" s="10" t="n"/>
      <c r="F40" s="11" t="n"/>
      <c r="G40" s="12" t="n"/>
      <c r="H40" s="12" t="n"/>
      <c r="I40" s="13">
        <f>IFERROR(INDEX(TICKETS_DATASET!$G$2:$G$301,MATCH($A40,TICKETS_DATASET!$A$2:$A$301,0)),"")</f>
        <v/>
      </c>
      <c r="J40" s="13">
        <f>IFERROR(INDEX(TICKETS_DATASET!$D$2:$D$301,MATCH($A40,TICKETS_DATASET!$A$2:$A$301,0)),"")</f>
        <v/>
      </c>
      <c r="K40" s="13">
        <f>IFERROR(INDEX(TICKETS_DATASET!$E$2:$E$301,MATCH($A40,TICKETS_DATASET!$A$2:$A$301,0)),"")</f>
        <v/>
      </c>
      <c r="L40" s="14">
        <f>IF($A40="","",IF($B40=$I40,1,0))</f>
        <v/>
      </c>
      <c r="M40" s="14">
        <f>IF($A40="","",IF(AND($C40=$J40,$D40=$K40),1,0))</f>
        <v/>
      </c>
      <c r="N40" s="14">
        <f>IF($A40="","",IFERROR(IF(INDEX(TICKETS_DATASET!$J$2:$J$301,MATCH($A40,TICKETS_DATASET!$A$2:$A$301,0))="ambigu",1,0),0))</f>
        <v/>
      </c>
      <c r="O40" s="14">
        <f>IF($A40="","",IF(OR($G40&lt;&gt;"",$L40=0,$M40=0),1,0))</f>
        <v/>
      </c>
    </row>
    <row r="41" ht="34" customHeight="1">
      <c r="A41" s="5" t="n"/>
      <c r="B41" s="5" t="n"/>
      <c r="C41" s="5" t="n"/>
      <c r="D41" s="5" t="n"/>
      <c r="E41" s="10" t="n"/>
      <c r="F41" s="11" t="n"/>
      <c r="G41" s="12" t="n"/>
      <c r="H41" s="12" t="n"/>
      <c r="I41" s="13">
        <f>IFERROR(INDEX(TICKETS_DATASET!$G$2:$G$301,MATCH($A41,TICKETS_DATASET!$A$2:$A$301,0)),"")</f>
        <v/>
      </c>
      <c r="J41" s="13">
        <f>IFERROR(INDEX(TICKETS_DATASET!$D$2:$D$301,MATCH($A41,TICKETS_DATASET!$A$2:$A$301,0)),"")</f>
        <v/>
      </c>
      <c r="K41" s="13">
        <f>IFERROR(INDEX(TICKETS_DATASET!$E$2:$E$301,MATCH($A41,TICKETS_DATASET!$A$2:$A$301,0)),"")</f>
        <v/>
      </c>
      <c r="L41" s="14">
        <f>IF($A41="","",IF($B41=$I41,1,0))</f>
        <v/>
      </c>
      <c r="M41" s="14">
        <f>IF($A41="","",IF(AND($C41=$J41,$D41=$K41),1,0))</f>
        <v/>
      </c>
      <c r="N41" s="14">
        <f>IF($A41="","",IFERROR(IF(INDEX(TICKETS_DATASET!$J$2:$J$301,MATCH($A41,TICKETS_DATASET!$A$2:$A$301,0))="ambigu",1,0),0))</f>
        <v/>
      </c>
      <c r="O41" s="14">
        <f>IF($A41="","",IF(OR($G41&lt;&gt;"",$L41=0,$M41=0),1,0))</f>
        <v/>
      </c>
    </row>
    <row r="42" ht="34" customHeight="1">
      <c r="A42" s="5" t="n"/>
      <c r="B42" s="5" t="n"/>
      <c r="C42" s="5" t="n"/>
      <c r="D42" s="5" t="n"/>
      <c r="E42" s="10" t="n"/>
      <c r="F42" s="11" t="n"/>
      <c r="G42" s="12" t="n"/>
      <c r="H42" s="12" t="n"/>
      <c r="I42" s="13">
        <f>IFERROR(INDEX(TICKETS_DATASET!$G$2:$G$301,MATCH($A42,TICKETS_DATASET!$A$2:$A$301,0)),"")</f>
        <v/>
      </c>
      <c r="J42" s="13">
        <f>IFERROR(INDEX(TICKETS_DATASET!$D$2:$D$301,MATCH($A42,TICKETS_DATASET!$A$2:$A$301,0)),"")</f>
        <v/>
      </c>
      <c r="K42" s="13">
        <f>IFERROR(INDEX(TICKETS_DATASET!$E$2:$E$301,MATCH($A42,TICKETS_DATASET!$A$2:$A$301,0)),"")</f>
        <v/>
      </c>
      <c r="L42" s="14">
        <f>IF($A42="","",IF($B42=$I42,1,0))</f>
        <v/>
      </c>
      <c r="M42" s="14">
        <f>IF($A42="","",IF(AND($C42=$J42,$D42=$K42),1,0))</f>
        <v/>
      </c>
      <c r="N42" s="14">
        <f>IF($A42="","",IFERROR(IF(INDEX(TICKETS_DATASET!$J$2:$J$301,MATCH($A42,TICKETS_DATASET!$A$2:$A$301,0))="ambigu",1,0),0))</f>
        <v/>
      </c>
      <c r="O42" s="14">
        <f>IF($A42="","",IF(OR($G42&lt;&gt;"",$L42=0,$M42=0),1,0))</f>
        <v/>
      </c>
    </row>
    <row r="43" ht="34" customHeight="1">
      <c r="A43" s="5" t="n"/>
      <c r="B43" s="5" t="n"/>
      <c r="C43" s="5" t="n"/>
      <c r="D43" s="5" t="n"/>
      <c r="E43" s="10" t="n"/>
      <c r="F43" s="11" t="n"/>
      <c r="G43" s="12" t="n"/>
      <c r="H43" s="12" t="n"/>
      <c r="I43" s="13">
        <f>IFERROR(INDEX(TICKETS_DATASET!$G$2:$G$301,MATCH($A43,TICKETS_DATASET!$A$2:$A$301,0)),"")</f>
        <v/>
      </c>
      <c r="J43" s="13">
        <f>IFERROR(INDEX(TICKETS_DATASET!$D$2:$D$301,MATCH($A43,TICKETS_DATASET!$A$2:$A$301,0)),"")</f>
        <v/>
      </c>
      <c r="K43" s="13">
        <f>IFERROR(INDEX(TICKETS_DATASET!$E$2:$E$301,MATCH($A43,TICKETS_DATASET!$A$2:$A$301,0)),"")</f>
        <v/>
      </c>
      <c r="L43" s="14">
        <f>IF($A43="","",IF($B43=$I43,1,0))</f>
        <v/>
      </c>
      <c r="M43" s="14">
        <f>IF($A43="","",IF(AND($C43=$J43,$D43=$K43),1,0))</f>
        <v/>
      </c>
      <c r="N43" s="14">
        <f>IF($A43="","",IFERROR(IF(INDEX(TICKETS_DATASET!$J$2:$J$301,MATCH($A43,TICKETS_DATASET!$A$2:$A$301,0))="ambigu",1,0),0))</f>
        <v/>
      </c>
      <c r="O43" s="14">
        <f>IF($A43="","",IF(OR($G43&lt;&gt;"",$L43=0,$M43=0),1,0))</f>
        <v/>
      </c>
    </row>
    <row r="44" ht="34" customHeight="1">
      <c r="A44" s="5" t="n"/>
      <c r="B44" s="5" t="n"/>
      <c r="C44" s="5" t="n"/>
      <c r="D44" s="5" t="n"/>
      <c r="E44" s="10" t="n"/>
      <c r="F44" s="11" t="n"/>
      <c r="G44" s="12" t="n"/>
      <c r="H44" s="12" t="n"/>
      <c r="I44" s="13">
        <f>IFERROR(INDEX(TICKETS_DATASET!$G$2:$G$301,MATCH($A44,TICKETS_DATASET!$A$2:$A$301,0)),"")</f>
        <v/>
      </c>
      <c r="J44" s="13">
        <f>IFERROR(INDEX(TICKETS_DATASET!$D$2:$D$301,MATCH($A44,TICKETS_DATASET!$A$2:$A$301,0)),"")</f>
        <v/>
      </c>
      <c r="K44" s="13">
        <f>IFERROR(INDEX(TICKETS_DATASET!$E$2:$E$301,MATCH($A44,TICKETS_DATASET!$A$2:$A$301,0)),"")</f>
        <v/>
      </c>
      <c r="L44" s="14">
        <f>IF($A44="","",IF($B44=$I44,1,0))</f>
        <v/>
      </c>
      <c r="M44" s="14">
        <f>IF($A44="","",IF(AND($C44=$J44,$D44=$K44),1,0))</f>
        <v/>
      </c>
      <c r="N44" s="14">
        <f>IF($A44="","",IFERROR(IF(INDEX(TICKETS_DATASET!$J$2:$J$301,MATCH($A44,TICKETS_DATASET!$A$2:$A$301,0))="ambigu",1,0),0))</f>
        <v/>
      </c>
      <c r="O44" s="14">
        <f>IF($A44="","",IF(OR($G44&lt;&gt;"",$L44=0,$M44=0),1,0))</f>
        <v/>
      </c>
    </row>
    <row r="45" ht="34" customHeight="1">
      <c r="A45" s="5" t="n"/>
      <c r="B45" s="5" t="n"/>
      <c r="C45" s="5" t="n"/>
      <c r="D45" s="5" t="n"/>
      <c r="E45" s="10" t="n"/>
      <c r="F45" s="11" t="n"/>
      <c r="G45" s="12" t="n"/>
      <c r="H45" s="12" t="n"/>
      <c r="I45" s="13">
        <f>IFERROR(INDEX(TICKETS_DATASET!$G$2:$G$301,MATCH($A45,TICKETS_DATASET!$A$2:$A$301,0)),"")</f>
        <v/>
      </c>
      <c r="J45" s="13">
        <f>IFERROR(INDEX(TICKETS_DATASET!$D$2:$D$301,MATCH($A45,TICKETS_DATASET!$A$2:$A$301,0)),"")</f>
        <v/>
      </c>
      <c r="K45" s="13">
        <f>IFERROR(INDEX(TICKETS_DATASET!$E$2:$E$301,MATCH($A45,TICKETS_DATASET!$A$2:$A$301,0)),"")</f>
        <v/>
      </c>
      <c r="L45" s="14">
        <f>IF($A45="","",IF($B45=$I45,1,0))</f>
        <v/>
      </c>
      <c r="M45" s="14">
        <f>IF($A45="","",IF(AND($C45=$J45,$D45=$K45),1,0))</f>
        <v/>
      </c>
      <c r="N45" s="14">
        <f>IF($A45="","",IFERROR(IF(INDEX(TICKETS_DATASET!$J$2:$J$301,MATCH($A45,TICKETS_DATASET!$A$2:$A$301,0))="ambigu",1,0),0))</f>
        <v/>
      </c>
      <c r="O45" s="14">
        <f>IF($A45="","",IF(OR($G45&lt;&gt;"",$L45=0,$M45=0),1,0))</f>
        <v/>
      </c>
    </row>
    <row r="46" ht="34" customHeight="1">
      <c r="A46" s="5" t="n"/>
      <c r="B46" s="5" t="n"/>
      <c r="C46" s="5" t="n"/>
      <c r="D46" s="5" t="n"/>
      <c r="E46" s="10" t="n"/>
      <c r="F46" s="11" t="n"/>
      <c r="G46" s="12" t="n"/>
      <c r="H46" s="12" t="n"/>
      <c r="I46" s="13">
        <f>IFERROR(INDEX(TICKETS_DATASET!$G$2:$G$301,MATCH($A46,TICKETS_DATASET!$A$2:$A$301,0)),"")</f>
        <v/>
      </c>
      <c r="J46" s="13">
        <f>IFERROR(INDEX(TICKETS_DATASET!$D$2:$D$301,MATCH($A46,TICKETS_DATASET!$A$2:$A$301,0)),"")</f>
        <v/>
      </c>
      <c r="K46" s="13">
        <f>IFERROR(INDEX(TICKETS_DATASET!$E$2:$E$301,MATCH($A46,TICKETS_DATASET!$A$2:$A$301,0)),"")</f>
        <v/>
      </c>
      <c r="L46" s="14">
        <f>IF($A46="","",IF($B46=$I46,1,0))</f>
        <v/>
      </c>
      <c r="M46" s="14">
        <f>IF($A46="","",IF(AND($C46=$J46,$D46=$K46),1,0))</f>
        <v/>
      </c>
      <c r="N46" s="14">
        <f>IF($A46="","",IFERROR(IF(INDEX(TICKETS_DATASET!$J$2:$J$301,MATCH($A46,TICKETS_DATASET!$A$2:$A$301,0))="ambigu",1,0),0))</f>
        <v/>
      </c>
      <c r="O46" s="14">
        <f>IF($A46="","",IF(OR($G46&lt;&gt;"",$L46=0,$M46=0),1,0))</f>
        <v/>
      </c>
    </row>
    <row r="47" ht="34" customHeight="1">
      <c r="A47" s="5" t="n"/>
      <c r="B47" s="5" t="n"/>
      <c r="C47" s="5" t="n"/>
      <c r="D47" s="5" t="n"/>
      <c r="E47" s="10" t="n"/>
      <c r="F47" s="11" t="n"/>
      <c r="G47" s="12" t="n"/>
      <c r="H47" s="12" t="n"/>
      <c r="I47" s="13">
        <f>IFERROR(INDEX(TICKETS_DATASET!$G$2:$G$301,MATCH($A47,TICKETS_DATASET!$A$2:$A$301,0)),"")</f>
        <v/>
      </c>
      <c r="J47" s="13">
        <f>IFERROR(INDEX(TICKETS_DATASET!$D$2:$D$301,MATCH($A47,TICKETS_DATASET!$A$2:$A$301,0)),"")</f>
        <v/>
      </c>
      <c r="K47" s="13">
        <f>IFERROR(INDEX(TICKETS_DATASET!$E$2:$E$301,MATCH($A47,TICKETS_DATASET!$A$2:$A$301,0)),"")</f>
        <v/>
      </c>
      <c r="L47" s="14">
        <f>IF($A47="","",IF($B47=$I47,1,0))</f>
        <v/>
      </c>
      <c r="M47" s="14">
        <f>IF($A47="","",IF(AND($C47=$J47,$D47=$K47),1,0))</f>
        <v/>
      </c>
      <c r="N47" s="14">
        <f>IF($A47="","",IFERROR(IF(INDEX(TICKETS_DATASET!$J$2:$J$301,MATCH($A47,TICKETS_DATASET!$A$2:$A$301,0))="ambigu",1,0),0))</f>
        <v/>
      </c>
      <c r="O47" s="14">
        <f>IF($A47="","",IF(OR($G47&lt;&gt;"",$L47=0,$M47=0),1,0))</f>
        <v/>
      </c>
    </row>
    <row r="48" ht="34" customHeight="1">
      <c r="A48" s="5" t="n"/>
      <c r="B48" s="5" t="n"/>
      <c r="C48" s="5" t="n"/>
      <c r="D48" s="5" t="n"/>
      <c r="E48" s="10" t="n"/>
      <c r="F48" s="11" t="n"/>
      <c r="G48" s="12" t="n"/>
      <c r="H48" s="12" t="n"/>
      <c r="I48" s="13">
        <f>IFERROR(INDEX(TICKETS_DATASET!$G$2:$G$301,MATCH($A48,TICKETS_DATASET!$A$2:$A$301,0)),"")</f>
        <v/>
      </c>
      <c r="J48" s="13">
        <f>IFERROR(INDEX(TICKETS_DATASET!$D$2:$D$301,MATCH($A48,TICKETS_DATASET!$A$2:$A$301,0)),"")</f>
        <v/>
      </c>
      <c r="K48" s="13">
        <f>IFERROR(INDEX(TICKETS_DATASET!$E$2:$E$301,MATCH($A48,TICKETS_DATASET!$A$2:$A$301,0)),"")</f>
        <v/>
      </c>
      <c r="L48" s="14">
        <f>IF($A48="","",IF($B48=$I48,1,0))</f>
        <v/>
      </c>
      <c r="M48" s="14">
        <f>IF($A48="","",IF(AND($C48=$J48,$D48=$K48),1,0))</f>
        <v/>
      </c>
      <c r="N48" s="14">
        <f>IF($A48="","",IFERROR(IF(INDEX(TICKETS_DATASET!$J$2:$J$301,MATCH($A48,TICKETS_DATASET!$A$2:$A$301,0))="ambigu",1,0),0))</f>
        <v/>
      </c>
      <c r="O48" s="14">
        <f>IF($A48="","",IF(OR($G48&lt;&gt;"",$L48=0,$M48=0),1,0))</f>
        <v/>
      </c>
    </row>
    <row r="49" ht="34" customHeight="1">
      <c r="A49" s="5" t="n"/>
      <c r="B49" s="5" t="n"/>
      <c r="C49" s="5" t="n"/>
      <c r="D49" s="5" t="n"/>
      <c r="E49" s="10" t="n"/>
      <c r="F49" s="11" t="n"/>
      <c r="G49" s="12" t="n"/>
      <c r="H49" s="12" t="n"/>
      <c r="I49" s="13">
        <f>IFERROR(INDEX(TICKETS_DATASET!$G$2:$G$301,MATCH($A49,TICKETS_DATASET!$A$2:$A$301,0)),"")</f>
        <v/>
      </c>
      <c r="J49" s="13">
        <f>IFERROR(INDEX(TICKETS_DATASET!$D$2:$D$301,MATCH($A49,TICKETS_DATASET!$A$2:$A$301,0)),"")</f>
        <v/>
      </c>
      <c r="K49" s="13">
        <f>IFERROR(INDEX(TICKETS_DATASET!$E$2:$E$301,MATCH($A49,TICKETS_DATASET!$A$2:$A$301,0)),"")</f>
        <v/>
      </c>
      <c r="L49" s="14">
        <f>IF($A49="","",IF($B49=$I49,1,0))</f>
        <v/>
      </c>
      <c r="M49" s="14">
        <f>IF($A49="","",IF(AND($C49=$J49,$D49=$K49),1,0))</f>
        <v/>
      </c>
      <c r="N49" s="14">
        <f>IF($A49="","",IFERROR(IF(INDEX(TICKETS_DATASET!$J$2:$J$301,MATCH($A49,TICKETS_DATASET!$A$2:$A$301,0))="ambigu",1,0),0))</f>
        <v/>
      </c>
      <c r="O49" s="14">
        <f>IF($A49="","",IF(OR($G49&lt;&gt;"",$L49=0,$M49=0),1,0))</f>
        <v/>
      </c>
    </row>
    <row r="50" ht="34" customHeight="1">
      <c r="A50" s="5" t="n"/>
      <c r="B50" s="5" t="n"/>
      <c r="C50" s="5" t="n"/>
      <c r="D50" s="5" t="n"/>
      <c r="E50" s="10" t="n"/>
      <c r="F50" s="11" t="n"/>
      <c r="G50" s="12" t="n"/>
      <c r="H50" s="12" t="n"/>
      <c r="I50" s="13">
        <f>IFERROR(INDEX(TICKETS_DATASET!$G$2:$G$301,MATCH($A50,TICKETS_DATASET!$A$2:$A$301,0)),"")</f>
        <v/>
      </c>
      <c r="J50" s="13">
        <f>IFERROR(INDEX(TICKETS_DATASET!$D$2:$D$301,MATCH($A50,TICKETS_DATASET!$A$2:$A$301,0)),"")</f>
        <v/>
      </c>
      <c r="K50" s="13">
        <f>IFERROR(INDEX(TICKETS_DATASET!$E$2:$E$301,MATCH($A50,TICKETS_DATASET!$A$2:$A$301,0)),"")</f>
        <v/>
      </c>
      <c r="L50" s="14">
        <f>IF($A50="","",IF($B50=$I50,1,0))</f>
        <v/>
      </c>
      <c r="M50" s="14">
        <f>IF($A50="","",IF(AND($C50=$J50,$D50=$K50),1,0))</f>
        <v/>
      </c>
      <c r="N50" s="14">
        <f>IF($A50="","",IFERROR(IF(INDEX(TICKETS_DATASET!$J$2:$J$301,MATCH($A50,TICKETS_DATASET!$A$2:$A$301,0))="ambigu",1,0),0))</f>
        <v/>
      </c>
      <c r="O50" s="14">
        <f>IF($A50="","",IF(OR($G50&lt;&gt;"",$L50=0,$M50=0),1,0))</f>
        <v/>
      </c>
    </row>
    <row r="51" ht="34" customHeight="1">
      <c r="A51" s="5" t="n"/>
      <c r="B51" s="5" t="n"/>
      <c r="C51" s="5" t="n"/>
      <c r="D51" s="5" t="n"/>
      <c r="E51" s="10" t="n"/>
      <c r="F51" s="11" t="n"/>
      <c r="G51" s="12" t="n"/>
      <c r="H51" s="12" t="n"/>
      <c r="I51" s="13">
        <f>IFERROR(INDEX(TICKETS_DATASET!$G$2:$G$301,MATCH($A51,TICKETS_DATASET!$A$2:$A$301,0)),"")</f>
        <v/>
      </c>
      <c r="J51" s="13">
        <f>IFERROR(INDEX(TICKETS_DATASET!$D$2:$D$301,MATCH($A51,TICKETS_DATASET!$A$2:$A$301,0)),"")</f>
        <v/>
      </c>
      <c r="K51" s="13">
        <f>IFERROR(INDEX(TICKETS_DATASET!$E$2:$E$301,MATCH($A51,TICKETS_DATASET!$A$2:$A$301,0)),"")</f>
        <v/>
      </c>
      <c r="L51" s="14">
        <f>IF($A51="","",IF($B51=$I51,1,0))</f>
        <v/>
      </c>
      <c r="M51" s="14">
        <f>IF($A51="","",IF(AND($C51=$J51,$D51=$K51),1,0))</f>
        <v/>
      </c>
      <c r="N51" s="14">
        <f>IF($A51="","",IFERROR(IF(INDEX(TICKETS_DATASET!$J$2:$J$301,MATCH($A51,TICKETS_DATASET!$A$2:$A$301,0))="ambigu",1,0),0))</f>
        <v/>
      </c>
      <c r="O51" s="14">
        <f>IF($A51="","",IF(OR($G51&lt;&gt;"",$L51=0,$M51=0),1,0))</f>
        <v/>
      </c>
    </row>
    <row r="52" ht="34" customHeight="1">
      <c r="A52" s="5" t="n"/>
      <c r="B52" s="5" t="n"/>
      <c r="C52" s="5" t="n"/>
      <c r="D52" s="5" t="n"/>
      <c r="E52" s="10" t="n"/>
      <c r="F52" s="11" t="n"/>
      <c r="G52" s="12" t="n"/>
      <c r="H52" s="12" t="n"/>
      <c r="I52" s="13">
        <f>IFERROR(INDEX(TICKETS_DATASET!$G$2:$G$301,MATCH($A52,TICKETS_DATASET!$A$2:$A$301,0)),"")</f>
        <v/>
      </c>
      <c r="J52" s="13">
        <f>IFERROR(INDEX(TICKETS_DATASET!$D$2:$D$301,MATCH($A52,TICKETS_DATASET!$A$2:$A$301,0)),"")</f>
        <v/>
      </c>
      <c r="K52" s="13">
        <f>IFERROR(INDEX(TICKETS_DATASET!$E$2:$E$301,MATCH($A52,TICKETS_DATASET!$A$2:$A$301,0)),"")</f>
        <v/>
      </c>
      <c r="L52" s="14">
        <f>IF($A52="","",IF($B52=$I52,1,0))</f>
        <v/>
      </c>
      <c r="M52" s="14">
        <f>IF($A52="","",IF(AND($C52=$J52,$D52=$K52),1,0))</f>
        <v/>
      </c>
      <c r="N52" s="14">
        <f>IF($A52="","",IFERROR(IF(INDEX(TICKETS_DATASET!$J$2:$J$301,MATCH($A52,TICKETS_DATASET!$A$2:$A$301,0))="ambigu",1,0),0))</f>
        <v/>
      </c>
      <c r="O52" s="14">
        <f>IF($A52="","",IF(OR($G52&lt;&gt;"",$L52=0,$M52=0),1,0))</f>
        <v/>
      </c>
    </row>
    <row r="53" ht="34" customHeight="1">
      <c r="A53" s="5" t="n"/>
      <c r="B53" s="5" t="n"/>
      <c r="C53" s="5" t="n"/>
      <c r="D53" s="5" t="n"/>
      <c r="E53" s="10" t="n"/>
      <c r="F53" s="11" t="n"/>
      <c r="G53" s="12" t="n"/>
      <c r="H53" s="12" t="n"/>
      <c r="I53" s="13">
        <f>IFERROR(INDEX(TICKETS_DATASET!$G$2:$G$301,MATCH($A53,TICKETS_DATASET!$A$2:$A$301,0)),"")</f>
        <v/>
      </c>
      <c r="J53" s="13">
        <f>IFERROR(INDEX(TICKETS_DATASET!$D$2:$D$301,MATCH($A53,TICKETS_DATASET!$A$2:$A$301,0)),"")</f>
        <v/>
      </c>
      <c r="K53" s="13">
        <f>IFERROR(INDEX(TICKETS_DATASET!$E$2:$E$301,MATCH($A53,TICKETS_DATASET!$A$2:$A$301,0)),"")</f>
        <v/>
      </c>
      <c r="L53" s="14">
        <f>IF($A53="","",IF($B53=$I53,1,0))</f>
        <v/>
      </c>
      <c r="M53" s="14">
        <f>IF($A53="","",IF(AND($C53=$J53,$D53=$K53),1,0))</f>
        <v/>
      </c>
      <c r="N53" s="14">
        <f>IF($A53="","",IFERROR(IF(INDEX(TICKETS_DATASET!$J$2:$J$301,MATCH($A53,TICKETS_DATASET!$A$2:$A$301,0))="ambigu",1,0),0))</f>
        <v/>
      </c>
      <c r="O53" s="14">
        <f>IF($A53="","",IF(OR($G53&lt;&gt;"",$L53=0,$M53=0),1,0))</f>
        <v/>
      </c>
    </row>
    <row r="54" ht="34" customHeight="1">
      <c r="A54" s="5" t="n"/>
      <c r="B54" s="5" t="n"/>
      <c r="C54" s="5" t="n"/>
      <c r="D54" s="5" t="n"/>
      <c r="E54" s="10" t="n"/>
      <c r="F54" s="11" t="n"/>
      <c r="G54" s="12" t="n"/>
      <c r="H54" s="12" t="n"/>
      <c r="I54" s="13">
        <f>IFERROR(INDEX(TICKETS_DATASET!$G$2:$G$301,MATCH($A54,TICKETS_DATASET!$A$2:$A$301,0)),"")</f>
        <v/>
      </c>
      <c r="J54" s="13">
        <f>IFERROR(INDEX(TICKETS_DATASET!$D$2:$D$301,MATCH($A54,TICKETS_DATASET!$A$2:$A$301,0)),"")</f>
        <v/>
      </c>
      <c r="K54" s="13">
        <f>IFERROR(INDEX(TICKETS_DATASET!$E$2:$E$301,MATCH($A54,TICKETS_DATASET!$A$2:$A$301,0)),"")</f>
        <v/>
      </c>
      <c r="L54" s="14">
        <f>IF($A54="","",IF($B54=$I54,1,0))</f>
        <v/>
      </c>
      <c r="M54" s="14">
        <f>IF($A54="","",IF(AND($C54=$J54,$D54=$K54),1,0))</f>
        <v/>
      </c>
      <c r="N54" s="14">
        <f>IF($A54="","",IFERROR(IF(INDEX(TICKETS_DATASET!$J$2:$J$301,MATCH($A54,TICKETS_DATASET!$A$2:$A$301,0))="ambigu",1,0),0))</f>
        <v/>
      </c>
      <c r="O54" s="14">
        <f>IF($A54="","",IF(OR($G54&lt;&gt;"",$L54=0,$M54=0),1,0))</f>
        <v/>
      </c>
    </row>
    <row r="55" ht="34" customHeight="1">
      <c r="A55" s="5" t="n"/>
      <c r="B55" s="5" t="n"/>
      <c r="C55" s="5" t="n"/>
      <c r="D55" s="5" t="n"/>
      <c r="E55" s="10" t="n"/>
      <c r="F55" s="11" t="n"/>
      <c r="G55" s="12" t="n"/>
      <c r="H55" s="12" t="n"/>
      <c r="I55" s="13">
        <f>IFERROR(INDEX(TICKETS_DATASET!$G$2:$G$301,MATCH($A55,TICKETS_DATASET!$A$2:$A$301,0)),"")</f>
        <v/>
      </c>
      <c r="J55" s="13">
        <f>IFERROR(INDEX(TICKETS_DATASET!$D$2:$D$301,MATCH($A55,TICKETS_DATASET!$A$2:$A$301,0)),"")</f>
        <v/>
      </c>
      <c r="K55" s="13">
        <f>IFERROR(INDEX(TICKETS_DATASET!$E$2:$E$301,MATCH($A55,TICKETS_DATASET!$A$2:$A$301,0)),"")</f>
        <v/>
      </c>
      <c r="L55" s="14">
        <f>IF($A55="","",IF($B55=$I55,1,0))</f>
        <v/>
      </c>
      <c r="M55" s="14">
        <f>IF($A55="","",IF(AND($C55=$J55,$D55=$K55),1,0))</f>
        <v/>
      </c>
      <c r="N55" s="14">
        <f>IF($A55="","",IFERROR(IF(INDEX(TICKETS_DATASET!$J$2:$J$301,MATCH($A55,TICKETS_DATASET!$A$2:$A$301,0))="ambigu",1,0),0))</f>
        <v/>
      </c>
      <c r="O55" s="14">
        <f>IF($A55="","",IF(OR($G55&lt;&gt;"",$L55=0,$M55=0),1,0))</f>
        <v/>
      </c>
    </row>
    <row r="56" ht="34" customHeight="1">
      <c r="A56" s="5" t="n"/>
      <c r="B56" s="5" t="n"/>
      <c r="C56" s="5" t="n"/>
      <c r="D56" s="5" t="n"/>
      <c r="E56" s="10" t="n"/>
      <c r="F56" s="11" t="n"/>
      <c r="G56" s="12" t="n"/>
      <c r="H56" s="12" t="n"/>
      <c r="I56" s="13">
        <f>IFERROR(INDEX(TICKETS_DATASET!$G$2:$G$301,MATCH($A56,TICKETS_DATASET!$A$2:$A$301,0)),"")</f>
        <v/>
      </c>
      <c r="J56" s="13">
        <f>IFERROR(INDEX(TICKETS_DATASET!$D$2:$D$301,MATCH($A56,TICKETS_DATASET!$A$2:$A$301,0)),"")</f>
        <v/>
      </c>
      <c r="K56" s="13">
        <f>IFERROR(INDEX(TICKETS_DATASET!$E$2:$E$301,MATCH($A56,TICKETS_DATASET!$A$2:$A$301,0)),"")</f>
        <v/>
      </c>
      <c r="L56" s="14">
        <f>IF($A56="","",IF($B56=$I56,1,0))</f>
        <v/>
      </c>
      <c r="M56" s="14">
        <f>IF($A56="","",IF(AND($C56=$J56,$D56=$K56),1,0))</f>
        <v/>
      </c>
      <c r="N56" s="14">
        <f>IF($A56="","",IFERROR(IF(INDEX(TICKETS_DATASET!$J$2:$J$301,MATCH($A56,TICKETS_DATASET!$A$2:$A$301,0))="ambigu",1,0),0))</f>
        <v/>
      </c>
      <c r="O56" s="14">
        <f>IF($A56="","",IF(OR($G56&lt;&gt;"",$L56=0,$M56=0),1,0))</f>
        <v/>
      </c>
    </row>
    <row r="57" ht="34" customHeight="1">
      <c r="A57" s="5" t="n"/>
      <c r="B57" s="5" t="n"/>
      <c r="C57" s="5" t="n"/>
      <c r="D57" s="5" t="n"/>
      <c r="E57" s="10" t="n"/>
      <c r="F57" s="11" t="n"/>
      <c r="G57" s="12" t="n"/>
      <c r="H57" s="12" t="n"/>
      <c r="I57" s="13">
        <f>IFERROR(INDEX(TICKETS_DATASET!$G$2:$G$301,MATCH($A57,TICKETS_DATASET!$A$2:$A$301,0)),"")</f>
        <v/>
      </c>
      <c r="J57" s="13">
        <f>IFERROR(INDEX(TICKETS_DATASET!$D$2:$D$301,MATCH($A57,TICKETS_DATASET!$A$2:$A$301,0)),"")</f>
        <v/>
      </c>
      <c r="K57" s="13">
        <f>IFERROR(INDEX(TICKETS_DATASET!$E$2:$E$301,MATCH($A57,TICKETS_DATASET!$A$2:$A$301,0)),"")</f>
        <v/>
      </c>
      <c r="L57" s="14">
        <f>IF($A57="","",IF($B57=$I57,1,0))</f>
        <v/>
      </c>
      <c r="M57" s="14">
        <f>IF($A57="","",IF(AND($C57=$J57,$D57=$K57),1,0))</f>
        <v/>
      </c>
      <c r="N57" s="14">
        <f>IF($A57="","",IFERROR(IF(INDEX(TICKETS_DATASET!$J$2:$J$301,MATCH($A57,TICKETS_DATASET!$A$2:$A$301,0))="ambigu",1,0),0))</f>
        <v/>
      </c>
      <c r="O57" s="14">
        <f>IF($A57="","",IF(OR($G57&lt;&gt;"",$L57=0,$M57=0),1,0))</f>
        <v/>
      </c>
    </row>
    <row r="58" ht="34" customHeight="1">
      <c r="A58" s="5" t="n"/>
      <c r="B58" s="5" t="n"/>
      <c r="C58" s="5" t="n"/>
      <c r="D58" s="5" t="n"/>
      <c r="E58" s="10" t="n"/>
      <c r="F58" s="11" t="n"/>
      <c r="G58" s="12" t="n"/>
      <c r="H58" s="12" t="n"/>
      <c r="I58" s="13">
        <f>IFERROR(INDEX(TICKETS_DATASET!$G$2:$G$301,MATCH($A58,TICKETS_DATASET!$A$2:$A$301,0)),"")</f>
        <v/>
      </c>
      <c r="J58" s="13">
        <f>IFERROR(INDEX(TICKETS_DATASET!$D$2:$D$301,MATCH($A58,TICKETS_DATASET!$A$2:$A$301,0)),"")</f>
        <v/>
      </c>
      <c r="K58" s="13">
        <f>IFERROR(INDEX(TICKETS_DATASET!$E$2:$E$301,MATCH($A58,TICKETS_DATASET!$A$2:$A$301,0)),"")</f>
        <v/>
      </c>
      <c r="L58" s="14">
        <f>IF($A58="","",IF($B58=$I58,1,0))</f>
        <v/>
      </c>
      <c r="M58" s="14">
        <f>IF($A58="","",IF(AND($C58=$J58,$D58=$K58),1,0))</f>
        <v/>
      </c>
      <c r="N58" s="14">
        <f>IF($A58="","",IFERROR(IF(INDEX(TICKETS_DATASET!$J$2:$J$301,MATCH($A58,TICKETS_DATASET!$A$2:$A$301,0))="ambigu",1,0),0))</f>
        <v/>
      </c>
      <c r="O58" s="14">
        <f>IF($A58="","",IF(OR($G58&lt;&gt;"",$L58=0,$M58=0),1,0))</f>
        <v/>
      </c>
    </row>
    <row r="59" ht="34" customHeight="1">
      <c r="A59" s="5" t="n"/>
      <c r="B59" s="5" t="n"/>
      <c r="C59" s="5" t="n"/>
      <c r="D59" s="5" t="n"/>
      <c r="E59" s="10" t="n"/>
      <c r="F59" s="11" t="n"/>
      <c r="G59" s="12" t="n"/>
      <c r="H59" s="12" t="n"/>
      <c r="I59" s="13">
        <f>IFERROR(INDEX(TICKETS_DATASET!$G$2:$G$301,MATCH($A59,TICKETS_DATASET!$A$2:$A$301,0)),"")</f>
        <v/>
      </c>
      <c r="J59" s="13">
        <f>IFERROR(INDEX(TICKETS_DATASET!$D$2:$D$301,MATCH($A59,TICKETS_DATASET!$A$2:$A$301,0)),"")</f>
        <v/>
      </c>
      <c r="K59" s="13">
        <f>IFERROR(INDEX(TICKETS_DATASET!$E$2:$E$301,MATCH($A59,TICKETS_DATASET!$A$2:$A$301,0)),"")</f>
        <v/>
      </c>
      <c r="L59" s="14">
        <f>IF($A59="","",IF($B59=$I59,1,0))</f>
        <v/>
      </c>
      <c r="M59" s="14">
        <f>IF($A59="","",IF(AND($C59=$J59,$D59=$K59),1,0))</f>
        <v/>
      </c>
      <c r="N59" s="14">
        <f>IF($A59="","",IFERROR(IF(INDEX(TICKETS_DATASET!$J$2:$J$301,MATCH($A59,TICKETS_DATASET!$A$2:$A$301,0))="ambigu",1,0),0))</f>
        <v/>
      </c>
      <c r="O59" s="14">
        <f>IF($A59="","",IF(OR($G59&lt;&gt;"",$L59=0,$M59=0),1,0))</f>
        <v/>
      </c>
    </row>
    <row r="60" ht="34" customHeight="1">
      <c r="A60" s="5" t="n"/>
      <c r="B60" s="5" t="n"/>
      <c r="C60" s="5" t="n"/>
      <c r="D60" s="5" t="n"/>
      <c r="E60" s="10" t="n"/>
      <c r="F60" s="11" t="n"/>
      <c r="G60" s="12" t="n"/>
      <c r="H60" s="12" t="n"/>
      <c r="I60" s="13">
        <f>IFERROR(INDEX(TICKETS_DATASET!$G$2:$G$301,MATCH($A60,TICKETS_DATASET!$A$2:$A$301,0)),"")</f>
        <v/>
      </c>
      <c r="J60" s="13">
        <f>IFERROR(INDEX(TICKETS_DATASET!$D$2:$D$301,MATCH($A60,TICKETS_DATASET!$A$2:$A$301,0)),"")</f>
        <v/>
      </c>
      <c r="K60" s="13">
        <f>IFERROR(INDEX(TICKETS_DATASET!$E$2:$E$301,MATCH($A60,TICKETS_DATASET!$A$2:$A$301,0)),"")</f>
        <v/>
      </c>
      <c r="L60" s="14">
        <f>IF($A60="","",IF($B60=$I60,1,0))</f>
        <v/>
      </c>
      <c r="M60" s="14">
        <f>IF($A60="","",IF(AND($C60=$J60,$D60=$K60),1,0))</f>
        <v/>
      </c>
      <c r="N60" s="14">
        <f>IF($A60="","",IFERROR(IF(INDEX(TICKETS_DATASET!$J$2:$J$301,MATCH($A60,TICKETS_DATASET!$A$2:$A$301,0))="ambigu",1,0),0))</f>
        <v/>
      </c>
      <c r="O60" s="14">
        <f>IF($A60="","",IF(OR($G60&lt;&gt;"",$L60=0,$M60=0),1,0))</f>
        <v/>
      </c>
    </row>
    <row r="61" ht="34" customHeight="1">
      <c r="A61" s="5" t="n"/>
      <c r="B61" s="5" t="n"/>
      <c r="C61" s="5" t="n"/>
      <c r="D61" s="5" t="n"/>
      <c r="E61" s="10" t="n"/>
      <c r="F61" s="11" t="n"/>
      <c r="G61" s="12" t="n"/>
      <c r="H61" s="12" t="n"/>
      <c r="I61" s="13">
        <f>IFERROR(INDEX(TICKETS_DATASET!$G$2:$G$301,MATCH($A61,TICKETS_DATASET!$A$2:$A$301,0)),"")</f>
        <v/>
      </c>
      <c r="J61" s="13">
        <f>IFERROR(INDEX(TICKETS_DATASET!$D$2:$D$301,MATCH($A61,TICKETS_DATASET!$A$2:$A$301,0)),"")</f>
        <v/>
      </c>
      <c r="K61" s="13">
        <f>IFERROR(INDEX(TICKETS_DATASET!$E$2:$E$301,MATCH($A61,TICKETS_DATASET!$A$2:$A$301,0)),"")</f>
        <v/>
      </c>
      <c r="L61" s="14">
        <f>IF($A61="","",IF($B61=$I61,1,0))</f>
        <v/>
      </c>
      <c r="M61" s="14">
        <f>IF($A61="","",IF(AND($C61=$J61,$D61=$K61),1,0))</f>
        <v/>
      </c>
      <c r="N61" s="14">
        <f>IF($A61="","",IFERROR(IF(INDEX(TICKETS_DATASET!$J$2:$J$301,MATCH($A61,TICKETS_DATASET!$A$2:$A$301,0))="ambigu",1,0),0))</f>
        <v/>
      </c>
      <c r="O61" s="14">
        <f>IF($A61="","",IF(OR($G61&lt;&gt;"",$L61=0,$M61=0),1,0))</f>
        <v/>
      </c>
    </row>
    <row r="62" ht="34" customHeight="1">
      <c r="A62" s="5" t="n"/>
      <c r="B62" s="5" t="n"/>
      <c r="C62" s="5" t="n"/>
      <c r="D62" s="5" t="n"/>
      <c r="E62" s="10" t="n"/>
      <c r="F62" s="11" t="n"/>
      <c r="G62" s="12" t="n"/>
      <c r="H62" s="12" t="n"/>
      <c r="I62" s="13">
        <f>IFERROR(INDEX(TICKETS_DATASET!$G$2:$G$301,MATCH($A62,TICKETS_DATASET!$A$2:$A$301,0)),"")</f>
        <v/>
      </c>
      <c r="J62" s="13">
        <f>IFERROR(INDEX(TICKETS_DATASET!$D$2:$D$301,MATCH($A62,TICKETS_DATASET!$A$2:$A$301,0)),"")</f>
        <v/>
      </c>
      <c r="K62" s="13">
        <f>IFERROR(INDEX(TICKETS_DATASET!$E$2:$E$301,MATCH($A62,TICKETS_DATASET!$A$2:$A$301,0)),"")</f>
        <v/>
      </c>
      <c r="L62" s="14">
        <f>IF($A62="","",IF($B62=$I62,1,0))</f>
        <v/>
      </c>
      <c r="M62" s="14">
        <f>IF($A62="","",IF(AND($C62=$J62,$D62=$K62),1,0))</f>
        <v/>
      </c>
      <c r="N62" s="14">
        <f>IF($A62="","",IFERROR(IF(INDEX(TICKETS_DATASET!$J$2:$J$301,MATCH($A62,TICKETS_DATASET!$A$2:$A$301,0))="ambigu",1,0),0))</f>
        <v/>
      </c>
      <c r="O62" s="14">
        <f>IF($A62="","",IF(OR($G62&lt;&gt;"",$L62=0,$M62=0),1,0))</f>
        <v/>
      </c>
    </row>
    <row r="63" ht="34" customHeight="1">
      <c r="A63" s="5" t="n"/>
      <c r="B63" s="5" t="n"/>
      <c r="C63" s="5" t="n"/>
      <c r="D63" s="5" t="n"/>
      <c r="E63" s="10" t="n"/>
      <c r="F63" s="11" t="n"/>
      <c r="G63" s="12" t="n"/>
      <c r="H63" s="12" t="n"/>
      <c r="I63" s="13">
        <f>IFERROR(INDEX(TICKETS_DATASET!$G$2:$G$301,MATCH($A63,TICKETS_DATASET!$A$2:$A$301,0)),"")</f>
        <v/>
      </c>
      <c r="J63" s="13">
        <f>IFERROR(INDEX(TICKETS_DATASET!$D$2:$D$301,MATCH($A63,TICKETS_DATASET!$A$2:$A$301,0)),"")</f>
        <v/>
      </c>
      <c r="K63" s="13">
        <f>IFERROR(INDEX(TICKETS_DATASET!$E$2:$E$301,MATCH($A63,TICKETS_DATASET!$A$2:$A$301,0)),"")</f>
        <v/>
      </c>
      <c r="L63" s="14">
        <f>IF($A63="","",IF($B63=$I63,1,0))</f>
        <v/>
      </c>
      <c r="M63" s="14">
        <f>IF($A63="","",IF(AND($C63=$J63,$D63=$K63),1,0))</f>
        <v/>
      </c>
      <c r="N63" s="14">
        <f>IF($A63="","",IFERROR(IF(INDEX(TICKETS_DATASET!$J$2:$J$301,MATCH($A63,TICKETS_DATASET!$A$2:$A$301,0))="ambigu",1,0),0))</f>
        <v/>
      </c>
      <c r="O63" s="14">
        <f>IF($A63="","",IF(OR($G63&lt;&gt;"",$L63=0,$M63=0),1,0))</f>
        <v/>
      </c>
    </row>
    <row r="64" ht="34" customHeight="1">
      <c r="A64" s="5" t="n"/>
      <c r="B64" s="5" t="n"/>
      <c r="C64" s="5" t="n"/>
      <c r="D64" s="5" t="n"/>
      <c r="E64" s="10" t="n"/>
      <c r="F64" s="11" t="n"/>
      <c r="G64" s="12" t="n"/>
      <c r="H64" s="12" t="n"/>
      <c r="I64" s="13">
        <f>IFERROR(INDEX(TICKETS_DATASET!$G$2:$G$301,MATCH($A64,TICKETS_DATASET!$A$2:$A$301,0)),"")</f>
        <v/>
      </c>
      <c r="J64" s="13">
        <f>IFERROR(INDEX(TICKETS_DATASET!$D$2:$D$301,MATCH($A64,TICKETS_DATASET!$A$2:$A$301,0)),"")</f>
        <v/>
      </c>
      <c r="K64" s="13">
        <f>IFERROR(INDEX(TICKETS_DATASET!$E$2:$E$301,MATCH($A64,TICKETS_DATASET!$A$2:$A$301,0)),"")</f>
        <v/>
      </c>
      <c r="L64" s="14">
        <f>IF($A64="","",IF($B64=$I64,1,0))</f>
        <v/>
      </c>
      <c r="M64" s="14">
        <f>IF($A64="","",IF(AND($C64=$J64,$D64=$K64),1,0))</f>
        <v/>
      </c>
      <c r="N64" s="14">
        <f>IF($A64="","",IFERROR(IF(INDEX(TICKETS_DATASET!$J$2:$J$301,MATCH($A64,TICKETS_DATASET!$A$2:$A$301,0))="ambigu",1,0),0))</f>
        <v/>
      </c>
      <c r="O64" s="14">
        <f>IF($A64="","",IF(OR($G64&lt;&gt;"",$L64=0,$M64=0),1,0))</f>
        <v/>
      </c>
    </row>
    <row r="65" ht="34" customHeight="1">
      <c r="A65" s="5" t="n"/>
      <c r="B65" s="5" t="n"/>
      <c r="C65" s="5" t="n"/>
      <c r="D65" s="5" t="n"/>
      <c r="E65" s="10" t="n"/>
      <c r="F65" s="11" t="n"/>
      <c r="G65" s="12" t="n"/>
      <c r="H65" s="12" t="n"/>
      <c r="I65" s="13">
        <f>IFERROR(INDEX(TICKETS_DATASET!$G$2:$G$301,MATCH($A65,TICKETS_DATASET!$A$2:$A$301,0)),"")</f>
        <v/>
      </c>
      <c r="J65" s="13">
        <f>IFERROR(INDEX(TICKETS_DATASET!$D$2:$D$301,MATCH($A65,TICKETS_DATASET!$A$2:$A$301,0)),"")</f>
        <v/>
      </c>
      <c r="K65" s="13">
        <f>IFERROR(INDEX(TICKETS_DATASET!$E$2:$E$301,MATCH($A65,TICKETS_DATASET!$A$2:$A$301,0)),"")</f>
        <v/>
      </c>
      <c r="L65" s="14">
        <f>IF($A65="","",IF($B65=$I65,1,0))</f>
        <v/>
      </c>
      <c r="M65" s="14">
        <f>IF($A65="","",IF(AND($C65=$J65,$D65=$K65),1,0))</f>
        <v/>
      </c>
      <c r="N65" s="14">
        <f>IF($A65="","",IFERROR(IF(INDEX(TICKETS_DATASET!$J$2:$J$301,MATCH($A65,TICKETS_DATASET!$A$2:$A$301,0))="ambigu",1,0),0))</f>
        <v/>
      </c>
      <c r="O65" s="14">
        <f>IF($A65="","",IF(OR($G65&lt;&gt;"",$L65=0,$M65=0),1,0))</f>
        <v/>
      </c>
    </row>
    <row r="66" ht="34" customHeight="1">
      <c r="A66" s="5" t="n"/>
      <c r="B66" s="5" t="n"/>
      <c r="C66" s="5" t="n"/>
      <c r="D66" s="5" t="n"/>
      <c r="E66" s="10" t="n"/>
      <c r="F66" s="11" t="n"/>
      <c r="G66" s="12" t="n"/>
      <c r="H66" s="12" t="n"/>
      <c r="I66" s="13">
        <f>IFERROR(INDEX(TICKETS_DATASET!$G$2:$G$301,MATCH($A66,TICKETS_DATASET!$A$2:$A$301,0)),"")</f>
        <v/>
      </c>
      <c r="J66" s="13">
        <f>IFERROR(INDEX(TICKETS_DATASET!$D$2:$D$301,MATCH($A66,TICKETS_DATASET!$A$2:$A$301,0)),"")</f>
        <v/>
      </c>
      <c r="K66" s="13">
        <f>IFERROR(INDEX(TICKETS_DATASET!$E$2:$E$301,MATCH($A66,TICKETS_DATASET!$A$2:$A$301,0)),"")</f>
        <v/>
      </c>
      <c r="L66" s="14">
        <f>IF($A66="","",IF($B66=$I66,1,0))</f>
        <v/>
      </c>
      <c r="M66" s="14">
        <f>IF($A66="","",IF(AND($C66=$J66,$D66=$K66),1,0))</f>
        <v/>
      </c>
      <c r="N66" s="14">
        <f>IF($A66="","",IFERROR(IF(INDEX(TICKETS_DATASET!$J$2:$J$301,MATCH($A66,TICKETS_DATASET!$A$2:$A$301,0))="ambigu",1,0),0))</f>
        <v/>
      </c>
      <c r="O66" s="14">
        <f>IF($A66="","",IF(OR($G66&lt;&gt;"",$L66=0,$M66=0),1,0))</f>
        <v/>
      </c>
    </row>
    <row r="67" ht="34" customHeight="1">
      <c r="A67" s="5" t="n"/>
      <c r="B67" s="5" t="n"/>
      <c r="C67" s="5" t="n"/>
      <c r="D67" s="5" t="n"/>
      <c r="E67" s="10" t="n"/>
      <c r="F67" s="11" t="n"/>
      <c r="G67" s="12" t="n"/>
      <c r="H67" s="12" t="n"/>
      <c r="I67" s="13">
        <f>IFERROR(INDEX(TICKETS_DATASET!$G$2:$G$301,MATCH($A67,TICKETS_DATASET!$A$2:$A$301,0)),"")</f>
        <v/>
      </c>
      <c r="J67" s="13">
        <f>IFERROR(INDEX(TICKETS_DATASET!$D$2:$D$301,MATCH($A67,TICKETS_DATASET!$A$2:$A$301,0)),"")</f>
        <v/>
      </c>
      <c r="K67" s="13">
        <f>IFERROR(INDEX(TICKETS_DATASET!$E$2:$E$301,MATCH($A67,TICKETS_DATASET!$A$2:$A$301,0)),"")</f>
        <v/>
      </c>
      <c r="L67" s="14">
        <f>IF($A67="","",IF($B67=$I67,1,0))</f>
        <v/>
      </c>
      <c r="M67" s="14">
        <f>IF($A67="","",IF(AND($C67=$J67,$D67=$K67),1,0))</f>
        <v/>
      </c>
      <c r="N67" s="14">
        <f>IF($A67="","",IFERROR(IF(INDEX(TICKETS_DATASET!$J$2:$J$301,MATCH($A67,TICKETS_DATASET!$A$2:$A$301,0))="ambigu",1,0),0))</f>
        <v/>
      </c>
      <c r="O67" s="14">
        <f>IF($A67="","",IF(OR($G67&lt;&gt;"",$L67=0,$M67=0),1,0))</f>
        <v/>
      </c>
    </row>
    <row r="68" ht="34" customHeight="1">
      <c r="A68" s="5" t="n"/>
      <c r="B68" s="5" t="n"/>
      <c r="C68" s="5" t="n"/>
      <c r="D68" s="5" t="n"/>
      <c r="E68" s="10" t="n"/>
      <c r="F68" s="11" t="n"/>
      <c r="G68" s="12" t="n"/>
      <c r="H68" s="12" t="n"/>
      <c r="I68" s="13">
        <f>IFERROR(INDEX(TICKETS_DATASET!$G$2:$G$301,MATCH($A68,TICKETS_DATASET!$A$2:$A$301,0)),"")</f>
        <v/>
      </c>
      <c r="J68" s="13">
        <f>IFERROR(INDEX(TICKETS_DATASET!$D$2:$D$301,MATCH($A68,TICKETS_DATASET!$A$2:$A$301,0)),"")</f>
        <v/>
      </c>
      <c r="K68" s="13">
        <f>IFERROR(INDEX(TICKETS_DATASET!$E$2:$E$301,MATCH($A68,TICKETS_DATASET!$A$2:$A$301,0)),"")</f>
        <v/>
      </c>
      <c r="L68" s="14">
        <f>IF($A68="","",IF($B68=$I68,1,0))</f>
        <v/>
      </c>
      <c r="M68" s="14">
        <f>IF($A68="","",IF(AND($C68=$J68,$D68=$K68),1,0))</f>
        <v/>
      </c>
      <c r="N68" s="14">
        <f>IF($A68="","",IFERROR(IF(INDEX(TICKETS_DATASET!$J$2:$J$301,MATCH($A68,TICKETS_DATASET!$A$2:$A$301,0))="ambigu",1,0),0))</f>
        <v/>
      </c>
      <c r="O68" s="14">
        <f>IF($A68="","",IF(OR($G68&lt;&gt;"",$L68=0,$M68=0),1,0))</f>
        <v/>
      </c>
    </row>
    <row r="69" ht="34" customHeight="1">
      <c r="A69" s="5" t="n"/>
      <c r="B69" s="5" t="n"/>
      <c r="C69" s="5" t="n"/>
      <c r="D69" s="5" t="n"/>
      <c r="E69" s="10" t="n"/>
      <c r="F69" s="11" t="n"/>
      <c r="G69" s="12" t="n"/>
      <c r="H69" s="12" t="n"/>
      <c r="I69" s="13">
        <f>IFERROR(INDEX(TICKETS_DATASET!$G$2:$G$301,MATCH($A69,TICKETS_DATASET!$A$2:$A$301,0)),"")</f>
        <v/>
      </c>
      <c r="J69" s="13">
        <f>IFERROR(INDEX(TICKETS_DATASET!$D$2:$D$301,MATCH($A69,TICKETS_DATASET!$A$2:$A$301,0)),"")</f>
        <v/>
      </c>
      <c r="K69" s="13">
        <f>IFERROR(INDEX(TICKETS_DATASET!$E$2:$E$301,MATCH($A69,TICKETS_DATASET!$A$2:$A$301,0)),"")</f>
        <v/>
      </c>
      <c r="L69" s="14">
        <f>IF($A69="","",IF($B69=$I69,1,0))</f>
        <v/>
      </c>
      <c r="M69" s="14">
        <f>IF($A69="","",IF(AND($C69=$J69,$D69=$K69),1,0))</f>
        <v/>
      </c>
      <c r="N69" s="14">
        <f>IF($A69="","",IFERROR(IF(INDEX(TICKETS_DATASET!$J$2:$J$301,MATCH($A69,TICKETS_DATASET!$A$2:$A$301,0))="ambigu",1,0),0))</f>
        <v/>
      </c>
      <c r="O69" s="14">
        <f>IF($A69="","",IF(OR($G69&lt;&gt;"",$L69=0,$M69=0),1,0))</f>
        <v/>
      </c>
    </row>
    <row r="70" ht="34" customHeight="1">
      <c r="A70" s="5" t="n"/>
      <c r="B70" s="5" t="n"/>
      <c r="C70" s="5" t="n"/>
      <c r="D70" s="5" t="n"/>
      <c r="E70" s="10" t="n"/>
      <c r="F70" s="11" t="n"/>
      <c r="G70" s="12" t="n"/>
      <c r="H70" s="12" t="n"/>
      <c r="I70" s="13">
        <f>IFERROR(INDEX(TICKETS_DATASET!$G$2:$G$301,MATCH($A70,TICKETS_DATASET!$A$2:$A$301,0)),"")</f>
        <v/>
      </c>
      <c r="J70" s="13">
        <f>IFERROR(INDEX(TICKETS_DATASET!$D$2:$D$301,MATCH($A70,TICKETS_DATASET!$A$2:$A$301,0)),"")</f>
        <v/>
      </c>
      <c r="K70" s="13">
        <f>IFERROR(INDEX(TICKETS_DATASET!$E$2:$E$301,MATCH($A70,TICKETS_DATASET!$A$2:$A$301,0)),"")</f>
        <v/>
      </c>
      <c r="L70" s="14">
        <f>IF($A70="","",IF($B70=$I70,1,0))</f>
        <v/>
      </c>
      <c r="M70" s="14">
        <f>IF($A70="","",IF(AND($C70=$J70,$D70=$K70),1,0))</f>
        <v/>
      </c>
      <c r="N70" s="14">
        <f>IF($A70="","",IFERROR(IF(INDEX(TICKETS_DATASET!$J$2:$J$301,MATCH($A70,TICKETS_DATASET!$A$2:$A$301,0))="ambigu",1,0),0))</f>
        <v/>
      </c>
      <c r="O70" s="14">
        <f>IF($A70="","",IF(OR($G70&lt;&gt;"",$L70=0,$M70=0),1,0))</f>
        <v/>
      </c>
    </row>
    <row r="71" ht="34" customHeight="1">
      <c r="A71" s="5" t="n"/>
      <c r="B71" s="5" t="n"/>
      <c r="C71" s="5" t="n"/>
      <c r="D71" s="5" t="n"/>
      <c r="E71" s="10" t="n"/>
      <c r="F71" s="11" t="n"/>
      <c r="G71" s="12" t="n"/>
      <c r="H71" s="12" t="n"/>
      <c r="I71" s="13">
        <f>IFERROR(INDEX(TICKETS_DATASET!$G$2:$G$301,MATCH($A71,TICKETS_DATASET!$A$2:$A$301,0)),"")</f>
        <v/>
      </c>
      <c r="J71" s="13">
        <f>IFERROR(INDEX(TICKETS_DATASET!$D$2:$D$301,MATCH($A71,TICKETS_DATASET!$A$2:$A$301,0)),"")</f>
        <v/>
      </c>
      <c r="K71" s="13">
        <f>IFERROR(INDEX(TICKETS_DATASET!$E$2:$E$301,MATCH($A71,TICKETS_DATASET!$A$2:$A$301,0)),"")</f>
        <v/>
      </c>
      <c r="L71" s="14">
        <f>IF($A71="","",IF($B71=$I71,1,0))</f>
        <v/>
      </c>
      <c r="M71" s="14">
        <f>IF($A71="","",IF(AND($C71=$J71,$D71=$K71),1,0))</f>
        <v/>
      </c>
      <c r="N71" s="14">
        <f>IF($A71="","",IFERROR(IF(INDEX(TICKETS_DATASET!$J$2:$J$301,MATCH($A71,TICKETS_DATASET!$A$2:$A$301,0))="ambigu",1,0),0))</f>
        <v/>
      </c>
      <c r="O71" s="14">
        <f>IF($A71="","",IF(OR($G71&lt;&gt;"",$L71=0,$M71=0),1,0))</f>
        <v/>
      </c>
    </row>
    <row r="72" ht="34" customHeight="1">
      <c r="A72" s="5" t="n"/>
      <c r="B72" s="5" t="n"/>
      <c r="C72" s="5" t="n"/>
      <c r="D72" s="5" t="n"/>
      <c r="E72" s="10" t="n"/>
      <c r="F72" s="11" t="n"/>
      <c r="G72" s="12" t="n"/>
      <c r="H72" s="12" t="n"/>
      <c r="I72" s="13">
        <f>IFERROR(INDEX(TICKETS_DATASET!$G$2:$G$301,MATCH($A72,TICKETS_DATASET!$A$2:$A$301,0)),"")</f>
        <v/>
      </c>
      <c r="J72" s="13">
        <f>IFERROR(INDEX(TICKETS_DATASET!$D$2:$D$301,MATCH($A72,TICKETS_DATASET!$A$2:$A$301,0)),"")</f>
        <v/>
      </c>
      <c r="K72" s="13">
        <f>IFERROR(INDEX(TICKETS_DATASET!$E$2:$E$301,MATCH($A72,TICKETS_DATASET!$A$2:$A$301,0)),"")</f>
        <v/>
      </c>
      <c r="L72" s="14">
        <f>IF($A72="","",IF($B72=$I72,1,0))</f>
        <v/>
      </c>
      <c r="M72" s="14">
        <f>IF($A72="","",IF(AND($C72=$J72,$D72=$K72),1,0))</f>
        <v/>
      </c>
      <c r="N72" s="14">
        <f>IF($A72="","",IFERROR(IF(INDEX(TICKETS_DATASET!$J$2:$J$301,MATCH($A72,TICKETS_DATASET!$A$2:$A$301,0))="ambigu",1,0),0))</f>
        <v/>
      </c>
      <c r="O72" s="14">
        <f>IF($A72="","",IF(OR($G72&lt;&gt;"",$L72=0,$M72=0),1,0))</f>
        <v/>
      </c>
    </row>
    <row r="73" ht="34" customHeight="1">
      <c r="A73" s="5" t="n"/>
      <c r="B73" s="5" t="n"/>
      <c r="C73" s="5" t="n"/>
      <c r="D73" s="5" t="n"/>
      <c r="E73" s="10" t="n"/>
      <c r="F73" s="11" t="n"/>
      <c r="G73" s="12" t="n"/>
      <c r="H73" s="12" t="n"/>
      <c r="I73" s="13">
        <f>IFERROR(INDEX(TICKETS_DATASET!$G$2:$G$301,MATCH($A73,TICKETS_DATASET!$A$2:$A$301,0)),"")</f>
        <v/>
      </c>
      <c r="J73" s="13">
        <f>IFERROR(INDEX(TICKETS_DATASET!$D$2:$D$301,MATCH($A73,TICKETS_DATASET!$A$2:$A$301,0)),"")</f>
        <v/>
      </c>
      <c r="K73" s="13">
        <f>IFERROR(INDEX(TICKETS_DATASET!$E$2:$E$301,MATCH($A73,TICKETS_DATASET!$A$2:$A$301,0)),"")</f>
        <v/>
      </c>
      <c r="L73" s="14">
        <f>IF($A73="","",IF($B73=$I73,1,0))</f>
        <v/>
      </c>
      <c r="M73" s="14">
        <f>IF($A73="","",IF(AND($C73=$J73,$D73=$K73),1,0))</f>
        <v/>
      </c>
      <c r="N73" s="14">
        <f>IF($A73="","",IFERROR(IF(INDEX(TICKETS_DATASET!$J$2:$J$301,MATCH($A73,TICKETS_DATASET!$A$2:$A$301,0))="ambigu",1,0),0))</f>
        <v/>
      </c>
      <c r="O73" s="14">
        <f>IF($A73="","",IF(OR($G73&lt;&gt;"",$L73=0,$M73=0),1,0))</f>
        <v/>
      </c>
    </row>
    <row r="74" ht="34" customHeight="1">
      <c r="A74" s="5" t="n"/>
      <c r="B74" s="5" t="n"/>
      <c r="C74" s="5" t="n"/>
      <c r="D74" s="5" t="n"/>
      <c r="E74" s="10" t="n"/>
      <c r="F74" s="11" t="n"/>
      <c r="G74" s="12" t="n"/>
      <c r="H74" s="12" t="n"/>
      <c r="I74" s="13">
        <f>IFERROR(INDEX(TICKETS_DATASET!$G$2:$G$301,MATCH($A74,TICKETS_DATASET!$A$2:$A$301,0)),"")</f>
        <v/>
      </c>
      <c r="J74" s="13">
        <f>IFERROR(INDEX(TICKETS_DATASET!$D$2:$D$301,MATCH($A74,TICKETS_DATASET!$A$2:$A$301,0)),"")</f>
        <v/>
      </c>
      <c r="K74" s="13">
        <f>IFERROR(INDEX(TICKETS_DATASET!$E$2:$E$301,MATCH($A74,TICKETS_DATASET!$A$2:$A$301,0)),"")</f>
        <v/>
      </c>
      <c r="L74" s="14">
        <f>IF($A74="","",IF($B74=$I74,1,0))</f>
        <v/>
      </c>
      <c r="M74" s="14">
        <f>IF($A74="","",IF(AND($C74=$J74,$D74=$K74),1,0))</f>
        <v/>
      </c>
      <c r="N74" s="14">
        <f>IF($A74="","",IFERROR(IF(INDEX(TICKETS_DATASET!$J$2:$J$301,MATCH($A74,TICKETS_DATASET!$A$2:$A$301,0))="ambigu",1,0),0))</f>
        <v/>
      </c>
      <c r="O74" s="14">
        <f>IF($A74="","",IF(OR($G74&lt;&gt;"",$L74=0,$M74=0),1,0))</f>
        <v/>
      </c>
    </row>
    <row r="75" ht="34" customHeight="1">
      <c r="A75" s="5" t="n"/>
      <c r="B75" s="5" t="n"/>
      <c r="C75" s="5" t="n"/>
      <c r="D75" s="5" t="n"/>
      <c r="E75" s="10" t="n"/>
      <c r="F75" s="11" t="n"/>
      <c r="G75" s="12" t="n"/>
      <c r="H75" s="12" t="n"/>
      <c r="I75" s="13">
        <f>IFERROR(INDEX(TICKETS_DATASET!$G$2:$G$301,MATCH($A75,TICKETS_DATASET!$A$2:$A$301,0)),"")</f>
        <v/>
      </c>
      <c r="J75" s="13">
        <f>IFERROR(INDEX(TICKETS_DATASET!$D$2:$D$301,MATCH($A75,TICKETS_DATASET!$A$2:$A$301,0)),"")</f>
        <v/>
      </c>
      <c r="K75" s="13">
        <f>IFERROR(INDEX(TICKETS_DATASET!$E$2:$E$301,MATCH($A75,TICKETS_DATASET!$A$2:$A$301,0)),"")</f>
        <v/>
      </c>
      <c r="L75" s="14">
        <f>IF($A75="","",IF($B75=$I75,1,0))</f>
        <v/>
      </c>
      <c r="M75" s="14">
        <f>IF($A75="","",IF(AND($C75=$J75,$D75=$K75),1,0))</f>
        <v/>
      </c>
      <c r="N75" s="14">
        <f>IF($A75="","",IFERROR(IF(INDEX(TICKETS_DATASET!$J$2:$J$301,MATCH($A75,TICKETS_DATASET!$A$2:$A$301,0))="ambigu",1,0),0))</f>
        <v/>
      </c>
      <c r="O75" s="14">
        <f>IF($A75="","",IF(OR($G75&lt;&gt;"",$L75=0,$M75=0),1,0))</f>
        <v/>
      </c>
    </row>
    <row r="76" ht="34" customHeight="1">
      <c r="A76" s="5" t="n"/>
      <c r="B76" s="5" t="n"/>
      <c r="C76" s="5" t="n"/>
      <c r="D76" s="5" t="n"/>
      <c r="E76" s="10" t="n"/>
      <c r="F76" s="11" t="n"/>
      <c r="G76" s="12" t="n"/>
      <c r="H76" s="12" t="n"/>
      <c r="I76" s="13">
        <f>IFERROR(INDEX(TICKETS_DATASET!$G$2:$G$301,MATCH($A76,TICKETS_DATASET!$A$2:$A$301,0)),"")</f>
        <v/>
      </c>
      <c r="J76" s="13">
        <f>IFERROR(INDEX(TICKETS_DATASET!$D$2:$D$301,MATCH($A76,TICKETS_DATASET!$A$2:$A$301,0)),"")</f>
        <v/>
      </c>
      <c r="K76" s="13">
        <f>IFERROR(INDEX(TICKETS_DATASET!$E$2:$E$301,MATCH($A76,TICKETS_DATASET!$A$2:$A$301,0)),"")</f>
        <v/>
      </c>
      <c r="L76" s="14">
        <f>IF($A76="","",IF($B76=$I76,1,0))</f>
        <v/>
      </c>
      <c r="M76" s="14">
        <f>IF($A76="","",IF(AND($C76=$J76,$D76=$K76),1,0))</f>
        <v/>
      </c>
      <c r="N76" s="14">
        <f>IF($A76="","",IFERROR(IF(INDEX(TICKETS_DATASET!$J$2:$J$301,MATCH($A76,TICKETS_DATASET!$A$2:$A$301,0))="ambigu",1,0),0))</f>
        <v/>
      </c>
      <c r="O76" s="14">
        <f>IF($A76="","",IF(OR($G76&lt;&gt;"",$L76=0,$M76=0),1,0))</f>
        <v/>
      </c>
    </row>
    <row r="77" ht="34" customHeight="1">
      <c r="A77" s="5" t="n"/>
      <c r="B77" s="5" t="n"/>
      <c r="C77" s="5" t="n"/>
      <c r="D77" s="5" t="n"/>
      <c r="E77" s="10" t="n"/>
      <c r="F77" s="11" t="n"/>
      <c r="G77" s="12" t="n"/>
      <c r="H77" s="12" t="n"/>
      <c r="I77" s="13">
        <f>IFERROR(INDEX(TICKETS_DATASET!$G$2:$G$301,MATCH($A77,TICKETS_DATASET!$A$2:$A$301,0)),"")</f>
        <v/>
      </c>
      <c r="J77" s="13">
        <f>IFERROR(INDEX(TICKETS_DATASET!$D$2:$D$301,MATCH($A77,TICKETS_DATASET!$A$2:$A$301,0)),"")</f>
        <v/>
      </c>
      <c r="K77" s="13">
        <f>IFERROR(INDEX(TICKETS_DATASET!$E$2:$E$301,MATCH($A77,TICKETS_DATASET!$A$2:$A$301,0)),"")</f>
        <v/>
      </c>
      <c r="L77" s="14">
        <f>IF($A77="","",IF($B77=$I77,1,0))</f>
        <v/>
      </c>
      <c r="M77" s="14">
        <f>IF($A77="","",IF(AND($C77=$J77,$D77=$K77),1,0))</f>
        <v/>
      </c>
      <c r="N77" s="14">
        <f>IF($A77="","",IFERROR(IF(INDEX(TICKETS_DATASET!$J$2:$J$301,MATCH($A77,TICKETS_DATASET!$A$2:$A$301,0))="ambigu",1,0),0))</f>
        <v/>
      </c>
      <c r="O77" s="14">
        <f>IF($A77="","",IF(OR($G77&lt;&gt;"",$L77=0,$M77=0),1,0))</f>
        <v/>
      </c>
    </row>
    <row r="78" ht="34" customHeight="1">
      <c r="A78" s="5" t="n"/>
      <c r="B78" s="5" t="n"/>
      <c r="C78" s="5" t="n"/>
      <c r="D78" s="5" t="n"/>
      <c r="E78" s="10" t="n"/>
      <c r="F78" s="11" t="n"/>
      <c r="G78" s="12" t="n"/>
      <c r="H78" s="12" t="n"/>
      <c r="I78" s="13">
        <f>IFERROR(INDEX(TICKETS_DATASET!$G$2:$G$301,MATCH($A78,TICKETS_DATASET!$A$2:$A$301,0)),"")</f>
        <v/>
      </c>
      <c r="J78" s="13">
        <f>IFERROR(INDEX(TICKETS_DATASET!$D$2:$D$301,MATCH($A78,TICKETS_DATASET!$A$2:$A$301,0)),"")</f>
        <v/>
      </c>
      <c r="K78" s="13">
        <f>IFERROR(INDEX(TICKETS_DATASET!$E$2:$E$301,MATCH($A78,TICKETS_DATASET!$A$2:$A$301,0)),"")</f>
        <v/>
      </c>
      <c r="L78" s="14">
        <f>IF($A78="","",IF($B78=$I78,1,0))</f>
        <v/>
      </c>
      <c r="M78" s="14">
        <f>IF($A78="","",IF(AND($C78=$J78,$D78=$K78),1,0))</f>
        <v/>
      </c>
      <c r="N78" s="14">
        <f>IF($A78="","",IFERROR(IF(INDEX(TICKETS_DATASET!$J$2:$J$301,MATCH($A78,TICKETS_DATASET!$A$2:$A$301,0))="ambigu",1,0),0))</f>
        <v/>
      </c>
      <c r="O78" s="14">
        <f>IF($A78="","",IF(OR($G78&lt;&gt;"",$L78=0,$M78=0),1,0))</f>
        <v/>
      </c>
    </row>
    <row r="79" ht="34" customHeight="1">
      <c r="A79" s="5" t="n"/>
      <c r="B79" s="5" t="n"/>
      <c r="C79" s="5" t="n"/>
      <c r="D79" s="5" t="n"/>
      <c r="E79" s="10" t="n"/>
      <c r="F79" s="11" t="n"/>
      <c r="G79" s="12" t="n"/>
      <c r="H79" s="12" t="n"/>
      <c r="I79" s="13">
        <f>IFERROR(INDEX(TICKETS_DATASET!$G$2:$G$301,MATCH($A79,TICKETS_DATASET!$A$2:$A$301,0)),"")</f>
        <v/>
      </c>
      <c r="J79" s="13">
        <f>IFERROR(INDEX(TICKETS_DATASET!$D$2:$D$301,MATCH($A79,TICKETS_DATASET!$A$2:$A$301,0)),"")</f>
        <v/>
      </c>
      <c r="K79" s="13">
        <f>IFERROR(INDEX(TICKETS_DATASET!$E$2:$E$301,MATCH($A79,TICKETS_DATASET!$A$2:$A$301,0)),"")</f>
        <v/>
      </c>
      <c r="L79" s="14">
        <f>IF($A79="","",IF($B79=$I79,1,0))</f>
        <v/>
      </c>
      <c r="M79" s="14">
        <f>IF($A79="","",IF(AND($C79=$J79,$D79=$K79),1,0))</f>
        <v/>
      </c>
      <c r="N79" s="14">
        <f>IF($A79="","",IFERROR(IF(INDEX(TICKETS_DATASET!$J$2:$J$301,MATCH($A79,TICKETS_DATASET!$A$2:$A$301,0))="ambigu",1,0),0))</f>
        <v/>
      </c>
      <c r="O79" s="14">
        <f>IF($A79="","",IF(OR($G79&lt;&gt;"",$L79=0,$M79=0),1,0))</f>
        <v/>
      </c>
    </row>
    <row r="80" ht="34" customHeight="1">
      <c r="A80" s="5" t="n"/>
      <c r="B80" s="5" t="n"/>
      <c r="C80" s="5" t="n"/>
      <c r="D80" s="5" t="n"/>
      <c r="E80" s="10" t="n"/>
      <c r="F80" s="11" t="n"/>
      <c r="G80" s="12" t="n"/>
      <c r="H80" s="12" t="n"/>
      <c r="I80" s="13">
        <f>IFERROR(INDEX(TICKETS_DATASET!$G$2:$G$301,MATCH($A80,TICKETS_DATASET!$A$2:$A$301,0)),"")</f>
        <v/>
      </c>
      <c r="J80" s="13">
        <f>IFERROR(INDEX(TICKETS_DATASET!$D$2:$D$301,MATCH($A80,TICKETS_DATASET!$A$2:$A$301,0)),"")</f>
        <v/>
      </c>
      <c r="K80" s="13">
        <f>IFERROR(INDEX(TICKETS_DATASET!$E$2:$E$301,MATCH($A80,TICKETS_DATASET!$A$2:$A$301,0)),"")</f>
        <v/>
      </c>
      <c r="L80" s="14">
        <f>IF($A80="","",IF($B80=$I80,1,0))</f>
        <v/>
      </c>
      <c r="M80" s="14">
        <f>IF($A80="","",IF(AND($C80=$J80,$D80=$K80),1,0))</f>
        <v/>
      </c>
      <c r="N80" s="14">
        <f>IF($A80="","",IFERROR(IF(INDEX(TICKETS_DATASET!$J$2:$J$301,MATCH($A80,TICKETS_DATASET!$A$2:$A$301,0))="ambigu",1,0),0))</f>
        <v/>
      </c>
      <c r="O80" s="14">
        <f>IF($A80="","",IF(OR($G80&lt;&gt;"",$L80=0,$M80=0),1,0))</f>
        <v/>
      </c>
    </row>
    <row r="81" ht="34" customHeight="1">
      <c r="A81" s="5" t="n"/>
      <c r="B81" s="5" t="n"/>
      <c r="C81" s="5" t="n"/>
      <c r="D81" s="5" t="n"/>
      <c r="E81" s="10" t="n"/>
      <c r="F81" s="11" t="n"/>
      <c r="G81" s="12" t="n"/>
      <c r="H81" s="12" t="n"/>
      <c r="I81" s="13">
        <f>IFERROR(INDEX(TICKETS_DATASET!$G$2:$G$301,MATCH($A81,TICKETS_DATASET!$A$2:$A$301,0)),"")</f>
        <v/>
      </c>
      <c r="J81" s="13">
        <f>IFERROR(INDEX(TICKETS_DATASET!$D$2:$D$301,MATCH($A81,TICKETS_DATASET!$A$2:$A$301,0)),"")</f>
        <v/>
      </c>
      <c r="K81" s="13">
        <f>IFERROR(INDEX(TICKETS_DATASET!$E$2:$E$301,MATCH($A81,TICKETS_DATASET!$A$2:$A$301,0)),"")</f>
        <v/>
      </c>
      <c r="L81" s="14">
        <f>IF($A81="","",IF($B81=$I81,1,0))</f>
        <v/>
      </c>
      <c r="M81" s="14">
        <f>IF($A81="","",IF(AND($C81=$J81,$D81=$K81),1,0))</f>
        <v/>
      </c>
      <c r="N81" s="14">
        <f>IF($A81="","",IFERROR(IF(INDEX(TICKETS_DATASET!$J$2:$J$301,MATCH($A81,TICKETS_DATASET!$A$2:$A$301,0))="ambigu",1,0),0))</f>
        <v/>
      </c>
      <c r="O81" s="14">
        <f>IF($A81="","",IF(OR($G81&lt;&gt;"",$L81=0,$M81=0),1,0))</f>
        <v/>
      </c>
    </row>
    <row r="82" ht="34" customHeight="1">
      <c r="A82" s="5" t="n"/>
      <c r="B82" s="5" t="n"/>
      <c r="C82" s="5" t="n"/>
      <c r="D82" s="5" t="n"/>
      <c r="E82" s="10" t="n"/>
      <c r="F82" s="11" t="n"/>
      <c r="G82" s="12" t="n"/>
      <c r="H82" s="12" t="n"/>
      <c r="I82" s="13">
        <f>IFERROR(INDEX(TICKETS_DATASET!$G$2:$G$301,MATCH($A82,TICKETS_DATASET!$A$2:$A$301,0)),"")</f>
        <v/>
      </c>
      <c r="J82" s="13">
        <f>IFERROR(INDEX(TICKETS_DATASET!$D$2:$D$301,MATCH($A82,TICKETS_DATASET!$A$2:$A$301,0)),"")</f>
        <v/>
      </c>
      <c r="K82" s="13">
        <f>IFERROR(INDEX(TICKETS_DATASET!$E$2:$E$301,MATCH($A82,TICKETS_DATASET!$A$2:$A$301,0)),"")</f>
        <v/>
      </c>
      <c r="L82" s="14">
        <f>IF($A82="","",IF($B82=$I82,1,0))</f>
        <v/>
      </c>
      <c r="M82" s="14">
        <f>IF($A82="","",IF(AND($C82=$J82,$D82=$K82),1,0))</f>
        <v/>
      </c>
      <c r="N82" s="14">
        <f>IF($A82="","",IFERROR(IF(INDEX(TICKETS_DATASET!$J$2:$J$301,MATCH($A82,TICKETS_DATASET!$A$2:$A$301,0))="ambigu",1,0),0))</f>
        <v/>
      </c>
      <c r="O82" s="14">
        <f>IF($A82="","",IF(OR($G82&lt;&gt;"",$L82=0,$M82=0),1,0))</f>
        <v/>
      </c>
    </row>
    <row r="83" ht="34" customHeight="1">
      <c r="A83" s="5" t="n"/>
      <c r="B83" s="5" t="n"/>
      <c r="C83" s="5" t="n"/>
      <c r="D83" s="5" t="n"/>
      <c r="E83" s="10" t="n"/>
      <c r="F83" s="11" t="n"/>
      <c r="G83" s="12" t="n"/>
      <c r="H83" s="12" t="n"/>
      <c r="I83" s="13">
        <f>IFERROR(INDEX(TICKETS_DATASET!$G$2:$G$301,MATCH($A83,TICKETS_DATASET!$A$2:$A$301,0)),"")</f>
        <v/>
      </c>
      <c r="J83" s="13">
        <f>IFERROR(INDEX(TICKETS_DATASET!$D$2:$D$301,MATCH($A83,TICKETS_DATASET!$A$2:$A$301,0)),"")</f>
        <v/>
      </c>
      <c r="K83" s="13">
        <f>IFERROR(INDEX(TICKETS_DATASET!$E$2:$E$301,MATCH($A83,TICKETS_DATASET!$A$2:$A$301,0)),"")</f>
        <v/>
      </c>
      <c r="L83" s="14">
        <f>IF($A83="","",IF($B83=$I83,1,0))</f>
        <v/>
      </c>
      <c r="M83" s="14">
        <f>IF($A83="","",IF(AND($C83=$J83,$D83=$K83),1,0))</f>
        <v/>
      </c>
      <c r="N83" s="14">
        <f>IF($A83="","",IFERROR(IF(INDEX(TICKETS_DATASET!$J$2:$J$301,MATCH($A83,TICKETS_DATASET!$A$2:$A$301,0))="ambigu",1,0),0))</f>
        <v/>
      </c>
      <c r="O83" s="14">
        <f>IF($A83="","",IF(OR($G83&lt;&gt;"",$L83=0,$M83=0),1,0))</f>
        <v/>
      </c>
    </row>
    <row r="84" ht="34" customHeight="1">
      <c r="A84" s="5" t="n"/>
      <c r="B84" s="5" t="n"/>
      <c r="C84" s="5" t="n"/>
      <c r="D84" s="5" t="n"/>
      <c r="E84" s="10" t="n"/>
      <c r="F84" s="11" t="n"/>
      <c r="G84" s="12" t="n"/>
      <c r="H84" s="12" t="n"/>
      <c r="I84" s="13">
        <f>IFERROR(INDEX(TICKETS_DATASET!$G$2:$G$301,MATCH($A84,TICKETS_DATASET!$A$2:$A$301,0)),"")</f>
        <v/>
      </c>
      <c r="J84" s="13">
        <f>IFERROR(INDEX(TICKETS_DATASET!$D$2:$D$301,MATCH($A84,TICKETS_DATASET!$A$2:$A$301,0)),"")</f>
        <v/>
      </c>
      <c r="K84" s="13">
        <f>IFERROR(INDEX(TICKETS_DATASET!$E$2:$E$301,MATCH($A84,TICKETS_DATASET!$A$2:$A$301,0)),"")</f>
        <v/>
      </c>
      <c r="L84" s="14">
        <f>IF($A84="","",IF($B84=$I84,1,0))</f>
        <v/>
      </c>
      <c r="M84" s="14">
        <f>IF($A84="","",IF(AND($C84=$J84,$D84=$K84),1,0))</f>
        <v/>
      </c>
      <c r="N84" s="14">
        <f>IF($A84="","",IFERROR(IF(INDEX(TICKETS_DATASET!$J$2:$J$301,MATCH($A84,TICKETS_DATASET!$A$2:$A$301,0))="ambigu",1,0),0))</f>
        <v/>
      </c>
      <c r="O84" s="14">
        <f>IF($A84="","",IF(OR($G84&lt;&gt;"",$L84=0,$M84=0),1,0))</f>
        <v/>
      </c>
    </row>
    <row r="85" ht="34" customHeight="1">
      <c r="A85" s="5" t="n"/>
      <c r="B85" s="5" t="n"/>
      <c r="C85" s="5" t="n"/>
      <c r="D85" s="5" t="n"/>
      <c r="E85" s="10" t="n"/>
      <c r="F85" s="11" t="n"/>
      <c r="G85" s="12" t="n"/>
      <c r="H85" s="12" t="n"/>
      <c r="I85" s="13">
        <f>IFERROR(INDEX(TICKETS_DATASET!$G$2:$G$301,MATCH($A85,TICKETS_DATASET!$A$2:$A$301,0)),"")</f>
        <v/>
      </c>
      <c r="J85" s="13">
        <f>IFERROR(INDEX(TICKETS_DATASET!$D$2:$D$301,MATCH($A85,TICKETS_DATASET!$A$2:$A$301,0)),"")</f>
        <v/>
      </c>
      <c r="K85" s="13">
        <f>IFERROR(INDEX(TICKETS_DATASET!$E$2:$E$301,MATCH($A85,TICKETS_DATASET!$A$2:$A$301,0)),"")</f>
        <v/>
      </c>
      <c r="L85" s="14">
        <f>IF($A85="","",IF($B85=$I85,1,0))</f>
        <v/>
      </c>
      <c r="M85" s="14">
        <f>IF($A85="","",IF(AND($C85=$J85,$D85=$K85),1,0))</f>
        <v/>
      </c>
      <c r="N85" s="14">
        <f>IF($A85="","",IFERROR(IF(INDEX(TICKETS_DATASET!$J$2:$J$301,MATCH($A85,TICKETS_DATASET!$A$2:$A$301,0))="ambigu",1,0),0))</f>
        <v/>
      </c>
      <c r="O85" s="14">
        <f>IF($A85="","",IF(OR($G85&lt;&gt;"",$L85=0,$M85=0),1,0))</f>
        <v/>
      </c>
    </row>
    <row r="86" ht="34" customHeight="1">
      <c r="A86" s="5" t="n"/>
      <c r="B86" s="5" t="n"/>
      <c r="C86" s="5" t="n"/>
      <c r="D86" s="5" t="n"/>
      <c r="E86" s="10" t="n"/>
      <c r="F86" s="11" t="n"/>
      <c r="G86" s="12" t="n"/>
      <c r="H86" s="12" t="n"/>
      <c r="I86" s="13">
        <f>IFERROR(INDEX(TICKETS_DATASET!$G$2:$G$301,MATCH($A86,TICKETS_DATASET!$A$2:$A$301,0)),"")</f>
        <v/>
      </c>
      <c r="J86" s="13">
        <f>IFERROR(INDEX(TICKETS_DATASET!$D$2:$D$301,MATCH($A86,TICKETS_DATASET!$A$2:$A$301,0)),"")</f>
        <v/>
      </c>
      <c r="K86" s="13">
        <f>IFERROR(INDEX(TICKETS_DATASET!$E$2:$E$301,MATCH($A86,TICKETS_DATASET!$A$2:$A$301,0)),"")</f>
        <v/>
      </c>
      <c r="L86" s="14">
        <f>IF($A86="","",IF($B86=$I86,1,0))</f>
        <v/>
      </c>
      <c r="M86" s="14">
        <f>IF($A86="","",IF(AND($C86=$J86,$D86=$K86),1,0))</f>
        <v/>
      </c>
      <c r="N86" s="14">
        <f>IF($A86="","",IFERROR(IF(INDEX(TICKETS_DATASET!$J$2:$J$301,MATCH($A86,TICKETS_DATASET!$A$2:$A$301,0))="ambigu",1,0),0))</f>
        <v/>
      </c>
      <c r="O86" s="14">
        <f>IF($A86="","",IF(OR($G86&lt;&gt;"",$L86=0,$M86=0),1,0))</f>
        <v/>
      </c>
    </row>
    <row r="87" ht="34" customHeight="1">
      <c r="A87" s="5" t="n"/>
      <c r="B87" s="5" t="n"/>
      <c r="C87" s="5" t="n"/>
      <c r="D87" s="5" t="n"/>
      <c r="E87" s="10" t="n"/>
      <c r="F87" s="11" t="n"/>
      <c r="G87" s="12" t="n"/>
      <c r="H87" s="12" t="n"/>
      <c r="I87" s="13">
        <f>IFERROR(INDEX(TICKETS_DATASET!$G$2:$G$301,MATCH($A87,TICKETS_DATASET!$A$2:$A$301,0)),"")</f>
        <v/>
      </c>
      <c r="J87" s="13">
        <f>IFERROR(INDEX(TICKETS_DATASET!$D$2:$D$301,MATCH($A87,TICKETS_DATASET!$A$2:$A$301,0)),"")</f>
        <v/>
      </c>
      <c r="K87" s="13">
        <f>IFERROR(INDEX(TICKETS_DATASET!$E$2:$E$301,MATCH($A87,TICKETS_DATASET!$A$2:$A$301,0)),"")</f>
        <v/>
      </c>
      <c r="L87" s="14">
        <f>IF($A87="","",IF($B87=$I87,1,0))</f>
        <v/>
      </c>
      <c r="M87" s="14">
        <f>IF($A87="","",IF(AND($C87=$J87,$D87=$K87),1,0))</f>
        <v/>
      </c>
      <c r="N87" s="14">
        <f>IF($A87="","",IFERROR(IF(INDEX(TICKETS_DATASET!$J$2:$J$301,MATCH($A87,TICKETS_DATASET!$A$2:$A$301,0))="ambigu",1,0),0))</f>
        <v/>
      </c>
      <c r="O87" s="14">
        <f>IF($A87="","",IF(OR($G87&lt;&gt;"",$L87=0,$M87=0),1,0))</f>
        <v/>
      </c>
    </row>
    <row r="88" ht="34" customHeight="1">
      <c r="A88" s="5" t="n"/>
      <c r="B88" s="5" t="n"/>
      <c r="C88" s="5" t="n"/>
      <c r="D88" s="5" t="n"/>
      <c r="E88" s="10" t="n"/>
      <c r="F88" s="11" t="n"/>
      <c r="G88" s="12" t="n"/>
      <c r="H88" s="12" t="n"/>
      <c r="I88" s="13">
        <f>IFERROR(INDEX(TICKETS_DATASET!$G$2:$G$301,MATCH($A88,TICKETS_DATASET!$A$2:$A$301,0)),"")</f>
        <v/>
      </c>
      <c r="J88" s="13">
        <f>IFERROR(INDEX(TICKETS_DATASET!$D$2:$D$301,MATCH($A88,TICKETS_DATASET!$A$2:$A$301,0)),"")</f>
        <v/>
      </c>
      <c r="K88" s="13">
        <f>IFERROR(INDEX(TICKETS_DATASET!$E$2:$E$301,MATCH($A88,TICKETS_DATASET!$A$2:$A$301,0)),"")</f>
        <v/>
      </c>
      <c r="L88" s="14">
        <f>IF($A88="","",IF($B88=$I88,1,0))</f>
        <v/>
      </c>
      <c r="M88" s="14">
        <f>IF($A88="","",IF(AND($C88=$J88,$D88=$K88),1,0))</f>
        <v/>
      </c>
      <c r="N88" s="14">
        <f>IF($A88="","",IFERROR(IF(INDEX(TICKETS_DATASET!$J$2:$J$301,MATCH($A88,TICKETS_DATASET!$A$2:$A$301,0))="ambigu",1,0),0))</f>
        <v/>
      </c>
      <c r="O88" s="14">
        <f>IF($A88="","",IF(OR($G88&lt;&gt;"",$L88=0,$M88=0),1,0))</f>
        <v/>
      </c>
    </row>
    <row r="89" ht="34" customHeight="1">
      <c r="A89" s="5" t="n"/>
      <c r="B89" s="5" t="n"/>
      <c r="C89" s="5" t="n"/>
      <c r="D89" s="5" t="n"/>
      <c r="E89" s="10" t="n"/>
      <c r="F89" s="11" t="n"/>
      <c r="G89" s="12" t="n"/>
      <c r="H89" s="12" t="n"/>
      <c r="I89" s="13">
        <f>IFERROR(INDEX(TICKETS_DATASET!$G$2:$G$301,MATCH($A89,TICKETS_DATASET!$A$2:$A$301,0)),"")</f>
        <v/>
      </c>
      <c r="J89" s="13">
        <f>IFERROR(INDEX(TICKETS_DATASET!$D$2:$D$301,MATCH($A89,TICKETS_DATASET!$A$2:$A$301,0)),"")</f>
        <v/>
      </c>
      <c r="K89" s="13">
        <f>IFERROR(INDEX(TICKETS_DATASET!$E$2:$E$301,MATCH($A89,TICKETS_DATASET!$A$2:$A$301,0)),"")</f>
        <v/>
      </c>
      <c r="L89" s="14">
        <f>IF($A89="","",IF($B89=$I89,1,0))</f>
        <v/>
      </c>
      <c r="M89" s="14">
        <f>IF($A89="","",IF(AND($C89=$J89,$D89=$K89),1,0))</f>
        <v/>
      </c>
      <c r="N89" s="14">
        <f>IF($A89="","",IFERROR(IF(INDEX(TICKETS_DATASET!$J$2:$J$301,MATCH($A89,TICKETS_DATASET!$A$2:$A$301,0))="ambigu",1,0),0))</f>
        <v/>
      </c>
      <c r="O89" s="14">
        <f>IF($A89="","",IF(OR($G89&lt;&gt;"",$L89=0,$M89=0),1,0))</f>
        <v/>
      </c>
    </row>
    <row r="90" ht="34" customHeight="1">
      <c r="A90" s="5" t="n"/>
      <c r="B90" s="5" t="n"/>
      <c r="C90" s="5" t="n"/>
      <c r="D90" s="5" t="n"/>
      <c r="E90" s="10" t="n"/>
      <c r="F90" s="11" t="n"/>
      <c r="G90" s="12" t="n"/>
      <c r="H90" s="12" t="n"/>
      <c r="I90" s="13">
        <f>IFERROR(INDEX(TICKETS_DATASET!$G$2:$G$301,MATCH($A90,TICKETS_DATASET!$A$2:$A$301,0)),"")</f>
        <v/>
      </c>
      <c r="J90" s="13">
        <f>IFERROR(INDEX(TICKETS_DATASET!$D$2:$D$301,MATCH($A90,TICKETS_DATASET!$A$2:$A$301,0)),"")</f>
        <v/>
      </c>
      <c r="K90" s="13">
        <f>IFERROR(INDEX(TICKETS_DATASET!$E$2:$E$301,MATCH($A90,TICKETS_DATASET!$A$2:$A$301,0)),"")</f>
        <v/>
      </c>
      <c r="L90" s="14">
        <f>IF($A90="","",IF($B90=$I90,1,0))</f>
        <v/>
      </c>
      <c r="M90" s="14">
        <f>IF($A90="","",IF(AND($C90=$J90,$D90=$K90),1,0))</f>
        <v/>
      </c>
      <c r="N90" s="14">
        <f>IF($A90="","",IFERROR(IF(INDEX(TICKETS_DATASET!$J$2:$J$301,MATCH($A90,TICKETS_DATASET!$A$2:$A$301,0))="ambigu",1,0),0))</f>
        <v/>
      </c>
      <c r="O90" s="14">
        <f>IF($A90="","",IF(OR($G90&lt;&gt;"",$L90=0,$M90=0),1,0))</f>
        <v/>
      </c>
    </row>
    <row r="91" ht="34" customHeight="1">
      <c r="A91" s="5" t="n"/>
      <c r="B91" s="5" t="n"/>
      <c r="C91" s="5" t="n"/>
      <c r="D91" s="5" t="n"/>
      <c r="E91" s="10" t="n"/>
      <c r="F91" s="11" t="n"/>
      <c r="G91" s="12" t="n"/>
      <c r="H91" s="12" t="n"/>
      <c r="I91" s="13">
        <f>IFERROR(INDEX(TICKETS_DATASET!$G$2:$G$301,MATCH($A91,TICKETS_DATASET!$A$2:$A$301,0)),"")</f>
        <v/>
      </c>
      <c r="J91" s="13">
        <f>IFERROR(INDEX(TICKETS_DATASET!$D$2:$D$301,MATCH($A91,TICKETS_DATASET!$A$2:$A$301,0)),"")</f>
        <v/>
      </c>
      <c r="K91" s="13">
        <f>IFERROR(INDEX(TICKETS_DATASET!$E$2:$E$301,MATCH($A91,TICKETS_DATASET!$A$2:$A$301,0)),"")</f>
        <v/>
      </c>
      <c r="L91" s="14">
        <f>IF($A91="","",IF($B91=$I91,1,0))</f>
        <v/>
      </c>
      <c r="M91" s="14">
        <f>IF($A91="","",IF(AND($C91=$J91,$D91=$K91),1,0))</f>
        <v/>
      </c>
      <c r="N91" s="14">
        <f>IF($A91="","",IFERROR(IF(INDEX(TICKETS_DATASET!$J$2:$J$301,MATCH($A91,TICKETS_DATASET!$A$2:$A$301,0))="ambigu",1,0),0))</f>
        <v/>
      </c>
      <c r="O91" s="14">
        <f>IF($A91="","",IF(OR($G91&lt;&gt;"",$L91=0,$M91=0),1,0))</f>
        <v/>
      </c>
    </row>
    <row r="92" ht="34" customHeight="1">
      <c r="A92" s="5" t="n"/>
      <c r="B92" s="5" t="n"/>
      <c r="C92" s="5" t="n"/>
      <c r="D92" s="5" t="n"/>
      <c r="E92" s="10" t="n"/>
      <c r="F92" s="11" t="n"/>
      <c r="G92" s="12" t="n"/>
      <c r="H92" s="12" t="n"/>
      <c r="I92" s="13">
        <f>IFERROR(INDEX(TICKETS_DATASET!$G$2:$G$301,MATCH($A92,TICKETS_DATASET!$A$2:$A$301,0)),"")</f>
        <v/>
      </c>
      <c r="J92" s="13">
        <f>IFERROR(INDEX(TICKETS_DATASET!$D$2:$D$301,MATCH($A92,TICKETS_DATASET!$A$2:$A$301,0)),"")</f>
        <v/>
      </c>
      <c r="K92" s="13">
        <f>IFERROR(INDEX(TICKETS_DATASET!$E$2:$E$301,MATCH($A92,TICKETS_DATASET!$A$2:$A$301,0)),"")</f>
        <v/>
      </c>
      <c r="L92" s="14">
        <f>IF($A92="","",IF($B92=$I92,1,0))</f>
        <v/>
      </c>
      <c r="M92" s="14">
        <f>IF($A92="","",IF(AND($C92=$J92,$D92=$K92),1,0))</f>
        <v/>
      </c>
      <c r="N92" s="14">
        <f>IF($A92="","",IFERROR(IF(INDEX(TICKETS_DATASET!$J$2:$J$301,MATCH($A92,TICKETS_DATASET!$A$2:$A$301,0))="ambigu",1,0),0))</f>
        <v/>
      </c>
      <c r="O92" s="14">
        <f>IF($A92="","",IF(OR($G92&lt;&gt;"",$L92=0,$M92=0),1,0))</f>
        <v/>
      </c>
    </row>
    <row r="93" ht="34" customHeight="1">
      <c r="A93" s="5" t="n"/>
      <c r="B93" s="5" t="n"/>
      <c r="C93" s="5" t="n"/>
      <c r="D93" s="5" t="n"/>
      <c r="E93" s="10" t="n"/>
      <c r="F93" s="11" t="n"/>
      <c r="G93" s="12" t="n"/>
      <c r="H93" s="12" t="n"/>
      <c r="I93" s="13">
        <f>IFERROR(INDEX(TICKETS_DATASET!$G$2:$G$301,MATCH($A93,TICKETS_DATASET!$A$2:$A$301,0)),"")</f>
        <v/>
      </c>
      <c r="J93" s="13">
        <f>IFERROR(INDEX(TICKETS_DATASET!$D$2:$D$301,MATCH($A93,TICKETS_DATASET!$A$2:$A$301,0)),"")</f>
        <v/>
      </c>
      <c r="K93" s="13">
        <f>IFERROR(INDEX(TICKETS_DATASET!$E$2:$E$301,MATCH($A93,TICKETS_DATASET!$A$2:$A$301,0)),"")</f>
        <v/>
      </c>
      <c r="L93" s="14">
        <f>IF($A93="","",IF($B93=$I93,1,0))</f>
        <v/>
      </c>
      <c r="M93" s="14">
        <f>IF($A93="","",IF(AND($C93=$J93,$D93=$K93),1,0))</f>
        <v/>
      </c>
      <c r="N93" s="14">
        <f>IF($A93="","",IFERROR(IF(INDEX(TICKETS_DATASET!$J$2:$J$301,MATCH($A93,TICKETS_DATASET!$A$2:$A$301,0))="ambigu",1,0),0))</f>
        <v/>
      </c>
      <c r="O93" s="14">
        <f>IF($A93="","",IF(OR($G93&lt;&gt;"",$L93=0,$M93=0),1,0))</f>
        <v/>
      </c>
    </row>
    <row r="94" ht="34" customHeight="1">
      <c r="A94" s="5" t="n"/>
      <c r="B94" s="5" t="n"/>
      <c r="C94" s="5" t="n"/>
      <c r="D94" s="5" t="n"/>
      <c r="E94" s="10" t="n"/>
      <c r="F94" s="11" t="n"/>
      <c r="G94" s="12" t="n"/>
      <c r="H94" s="12" t="n"/>
      <c r="I94" s="13">
        <f>IFERROR(INDEX(TICKETS_DATASET!$G$2:$G$301,MATCH($A94,TICKETS_DATASET!$A$2:$A$301,0)),"")</f>
        <v/>
      </c>
      <c r="J94" s="13">
        <f>IFERROR(INDEX(TICKETS_DATASET!$D$2:$D$301,MATCH($A94,TICKETS_DATASET!$A$2:$A$301,0)),"")</f>
        <v/>
      </c>
      <c r="K94" s="13">
        <f>IFERROR(INDEX(TICKETS_DATASET!$E$2:$E$301,MATCH($A94,TICKETS_DATASET!$A$2:$A$301,0)),"")</f>
        <v/>
      </c>
      <c r="L94" s="14">
        <f>IF($A94="","",IF($B94=$I94,1,0))</f>
        <v/>
      </c>
      <c r="M94" s="14">
        <f>IF($A94="","",IF(AND($C94=$J94,$D94=$K94),1,0))</f>
        <v/>
      </c>
      <c r="N94" s="14">
        <f>IF($A94="","",IFERROR(IF(INDEX(TICKETS_DATASET!$J$2:$J$301,MATCH($A94,TICKETS_DATASET!$A$2:$A$301,0))="ambigu",1,0),0))</f>
        <v/>
      </c>
      <c r="O94" s="14">
        <f>IF($A94="","",IF(OR($G94&lt;&gt;"",$L94=0,$M94=0),1,0))</f>
        <v/>
      </c>
    </row>
    <row r="95" ht="34" customHeight="1">
      <c r="A95" s="5" t="n"/>
      <c r="B95" s="5" t="n"/>
      <c r="C95" s="5" t="n"/>
      <c r="D95" s="5" t="n"/>
      <c r="E95" s="10" t="n"/>
      <c r="F95" s="11" t="n"/>
      <c r="G95" s="12" t="n"/>
      <c r="H95" s="12" t="n"/>
      <c r="I95" s="13">
        <f>IFERROR(INDEX(TICKETS_DATASET!$G$2:$G$301,MATCH($A95,TICKETS_DATASET!$A$2:$A$301,0)),"")</f>
        <v/>
      </c>
      <c r="J95" s="13">
        <f>IFERROR(INDEX(TICKETS_DATASET!$D$2:$D$301,MATCH($A95,TICKETS_DATASET!$A$2:$A$301,0)),"")</f>
        <v/>
      </c>
      <c r="K95" s="13">
        <f>IFERROR(INDEX(TICKETS_DATASET!$E$2:$E$301,MATCH($A95,TICKETS_DATASET!$A$2:$A$301,0)),"")</f>
        <v/>
      </c>
      <c r="L95" s="14">
        <f>IF($A95="","",IF($B95=$I95,1,0))</f>
        <v/>
      </c>
      <c r="M95" s="14">
        <f>IF($A95="","",IF(AND($C95=$J95,$D95=$K95),1,0))</f>
        <v/>
      </c>
      <c r="N95" s="14">
        <f>IF($A95="","",IFERROR(IF(INDEX(TICKETS_DATASET!$J$2:$J$301,MATCH($A95,TICKETS_DATASET!$A$2:$A$301,0))="ambigu",1,0),0))</f>
        <v/>
      </c>
      <c r="O95" s="14">
        <f>IF($A95="","",IF(OR($G95&lt;&gt;"",$L95=0,$M95=0),1,0))</f>
        <v/>
      </c>
    </row>
    <row r="96" ht="34" customHeight="1">
      <c r="A96" s="5" t="n"/>
      <c r="B96" s="5" t="n"/>
      <c r="C96" s="5" t="n"/>
      <c r="D96" s="5" t="n"/>
      <c r="E96" s="10" t="n"/>
      <c r="F96" s="11" t="n"/>
      <c r="G96" s="12" t="n"/>
      <c r="H96" s="12" t="n"/>
      <c r="I96" s="13">
        <f>IFERROR(INDEX(TICKETS_DATASET!$G$2:$G$301,MATCH($A96,TICKETS_DATASET!$A$2:$A$301,0)),"")</f>
        <v/>
      </c>
      <c r="J96" s="13">
        <f>IFERROR(INDEX(TICKETS_DATASET!$D$2:$D$301,MATCH($A96,TICKETS_DATASET!$A$2:$A$301,0)),"")</f>
        <v/>
      </c>
      <c r="K96" s="13">
        <f>IFERROR(INDEX(TICKETS_DATASET!$E$2:$E$301,MATCH($A96,TICKETS_DATASET!$A$2:$A$301,0)),"")</f>
        <v/>
      </c>
      <c r="L96" s="14">
        <f>IF($A96="","",IF($B96=$I96,1,0))</f>
        <v/>
      </c>
      <c r="M96" s="14">
        <f>IF($A96="","",IF(AND($C96=$J96,$D96=$K96),1,0))</f>
        <v/>
      </c>
      <c r="N96" s="14">
        <f>IF($A96="","",IFERROR(IF(INDEX(TICKETS_DATASET!$J$2:$J$301,MATCH($A96,TICKETS_DATASET!$A$2:$A$301,0))="ambigu",1,0),0))</f>
        <v/>
      </c>
      <c r="O96" s="14">
        <f>IF($A96="","",IF(OR($G96&lt;&gt;"",$L96=0,$M96=0),1,0))</f>
        <v/>
      </c>
    </row>
    <row r="97" ht="34" customHeight="1">
      <c r="A97" s="5" t="n"/>
      <c r="B97" s="5" t="n"/>
      <c r="C97" s="5" t="n"/>
      <c r="D97" s="5" t="n"/>
      <c r="E97" s="10" t="n"/>
      <c r="F97" s="11" t="n"/>
      <c r="G97" s="12" t="n"/>
      <c r="H97" s="12" t="n"/>
      <c r="I97" s="13">
        <f>IFERROR(INDEX(TICKETS_DATASET!$G$2:$G$301,MATCH($A97,TICKETS_DATASET!$A$2:$A$301,0)),"")</f>
        <v/>
      </c>
      <c r="J97" s="13">
        <f>IFERROR(INDEX(TICKETS_DATASET!$D$2:$D$301,MATCH($A97,TICKETS_DATASET!$A$2:$A$301,0)),"")</f>
        <v/>
      </c>
      <c r="K97" s="13">
        <f>IFERROR(INDEX(TICKETS_DATASET!$E$2:$E$301,MATCH($A97,TICKETS_DATASET!$A$2:$A$301,0)),"")</f>
        <v/>
      </c>
      <c r="L97" s="14">
        <f>IF($A97="","",IF($B97=$I97,1,0))</f>
        <v/>
      </c>
      <c r="M97" s="14">
        <f>IF($A97="","",IF(AND($C97=$J97,$D97=$K97),1,0))</f>
        <v/>
      </c>
      <c r="N97" s="14">
        <f>IF($A97="","",IFERROR(IF(INDEX(TICKETS_DATASET!$J$2:$J$301,MATCH($A97,TICKETS_DATASET!$A$2:$A$301,0))="ambigu",1,0),0))</f>
        <v/>
      </c>
      <c r="O97" s="14">
        <f>IF($A97="","",IF(OR($G97&lt;&gt;"",$L97=0,$M97=0),1,0))</f>
        <v/>
      </c>
    </row>
    <row r="98" ht="34" customHeight="1">
      <c r="A98" s="5" t="n"/>
      <c r="B98" s="5" t="n"/>
      <c r="C98" s="5" t="n"/>
      <c r="D98" s="5" t="n"/>
      <c r="E98" s="10" t="n"/>
      <c r="F98" s="11" t="n"/>
      <c r="G98" s="12" t="n"/>
      <c r="H98" s="12" t="n"/>
      <c r="I98" s="13">
        <f>IFERROR(INDEX(TICKETS_DATASET!$G$2:$G$301,MATCH($A98,TICKETS_DATASET!$A$2:$A$301,0)),"")</f>
        <v/>
      </c>
      <c r="J98" s="13">
        <f>IFERROR(INDEX(TICKETS_DATASET!$D$2:$D$301,MATCH($A98,TICKETS_DATASET!$A$2:$A$301,0)),"")</f>
        <v/>
      </c>
      <c r="K98" s="13">
        <f>IFERROR(INDEX(TICKETS_DATASET!$E$2:$E$301,MATCH($A98,TICKETS_DATASET!$A$2:$A$301,0)),"")</f>
        <v/>
      </c>
      <c r="L98" s="14">
        <f>IF($A98="","",IF($B98=$I98,1,0))</f>
        <v/>
      </c>
      <c r="M98" s="14">
        <f>IF($A98="","",IF(AND($C98=$J98,$D98=$K98),1,0))</f>
        <v/>
      </c>
      <c r="N98" s="14">
        <f>IF($A98="","",IFERROR(IF(INDEX(TICKETS_DATASET!$J$2:$J$301,MATCH($A98,TICKETS_DATASET!$A$2:$A$301,0))="ambigu",1,0),0))</f>
        <v/>
      </c>
      <c r="O98" s="14">
        <f>IF($A98="","",IF(OR($G98&lt;&gt;"",$L98=0,$M98=0),1,0))</f>
        <v/>
      </c>
    </row>
    <row r="99" ht="34" customHeight="1">
      <c r="A99" s="5" t="n"/>
      <c r="B99" s="5" t="n"/>
      <c r="C99" s="5" t="n"/>
      <c r="D99" s="5" t="n"/>
      <c r="E99" s="10" t="n"/>
      <c r="F99" s="11" t="n"/>
      <c r="G99" s="12" t="n"/>
      <c r="H99" s="12" t="n"/>
      <c r="I99" s="13">
        <f>IFERROR(INDEX(TICKETS_DATASET!$G$2:$G$301,MATCH($A99,TICKETS_DATASET!$A$2:$A$301,0)),"")</f>
        <v/>
      </c>
      <c r="J99" s="13">
        <f>IFERROR(INDEX(TICKETS_DATASET!$D$2:$D$301,MATCH($A99,TICKETS_DATASET!$A$2:$A$301,0)),"")</f>
        <v/>
      </c>
      <c r="K99" s="13">
        <f>IFERROR(INDEX(TICKETS_DATASET!$E$2:$E$301,MATCH($A99,TICKETS_DATASET!$A$2:$A$301,0)),"")</f>
        <v/>
      </c>
      <c r="L99" s="14">
        <f>IF($A99="","",IF($B99=$I99,1,0))</f>
        <v/>
      </c>
      <c r="M99" s="14">
        <f>IF($A99="","",IF(AND($C99=$J99,$D99=$K99),1,0))</f>
        <v/>
      </c>
      <c r="N99" s="14">
        <f>IF($A99="","",IFERROR(IF(INDEX(TICKETS_DATASET!$J$2:$J$301,MATCH($A99,TICKETS_DATASET!$A$2:$A$301,0))="ambigu",1,0),0))</f>
        <v/>
      </c>
      <c r="O99" s="14">
        <f>IF($A99="","",IF(OR($G99&lt;&gt;"",$L99=0,$M99=0),1,0))</f>
        <v/>
      </c>
    </row>
    <row r="100" ht="34" customHeight="1">
      <c r="A100" s="5" t="n"/>
      <c r="B100" s="5" t="n"/>
      <c r="C100" s="5" t="n"/>
      <c r="D100" s="5" t="n"/>
      <c r="E100" s="10" t="n"/>
      <c r="F100" s="11" t="n"/>
      <c r="G100" s="12" t="n"/>
      <c r="H100" s="12" t="n"/>
      <c r="I100" s="13">
        <f>IFERROR(INDEX(TICKETS_DATASET!$G$2:$G$301,MATCH($A100,TICKETS_DATASET!$A$2:$A$301,0)),"")</f>
        <v/>
      </c>
      <c r="J100" s="13">
        <f>IFERROR(INDEX(TICKETS_DATASET!$D$2:$D$301,MATCH($A100,TICKETS_DATASET!$A$2:$A$301,0)),"")</f>
        <v/>
      </c>
      <c r="K100" s="13">
        <f>IFERROR(INDEX(TICKETS_DATASET!$E$2:$E$301,MATCH($A100,TICKETS_DATASET!$A$2:$A$301,0)),"")</f>
        <v/>
      </c>
      <c r="L100" s="14">
        <f>IF($A100="","",IF($B100=$I100,1,0))</f>
        <v/>
      </c>
      <c r="M100" s="14">
        <f>IF($A100="","",IF(AND($C100=$J100,$D100=$K100),1,0))</f>
        <v/>
      </c>
      <c r="N100" s="14">
        <f>IF($A100="","",IFERROR(IF(INDEX(TICKETS_DATASET!$J$2:$J$301,MATCH($A100,TICKETS_DATASET!$A$2:$A$301,0))="ambigu",1,0),0))</f>
        <v/>
      </c>
      <c r="O100" s="14">
        <f>IF($A100="","",IF(OR($G100&lt;&gt;"",$L100=0,$M100=0),1,0))</f>
        <v/>
      </c>
    </row>
    <row r="101" ht="34" customHeight="1">
      <c r="A101" s="5" t="n"/>
      <c r="B101" s="5" t="n"/>
      <c r="C101" s="5" t="n"/>
      <c r="D101" s="5" t="n"/>
      <c r="E101" s="10" t="n"/>
      <c r="F101" s="11" t="n"/>
      <c r="G101" s="12" t="n"/>
      <c r="H101" s="12" t="n"/>
      <c r="I101" s="13">
        <f>IFERROR(INDEX(TICKETS_DATASET!$G$2:$G$301,MATCH($A101,TICKETS_DATASET!$A$2:$A$301,0)),"")</f>
        <v/>
      </c>
      <c r="J101" s="13">
        <f>IFERROR(INDEX(TICKETS_DATASET!$D$2:$D$301,MATCH($A101,TICKETS_DATASET!$A$2:$A$301,0)),"")</f>
        <v/>
      </c>
      <c r="K101" s="13">
        <f>IFERROR(INDEX(TICKETS_DATASET!$E$2:$E$301,MATCH($A101,TICKETS_DATASET!$A$2:$A$301,0)),"")</f>
        <v/>
      </c>
      <c r="L101" s="14">
        <f>IF($A101="","",IF($B101=$I101,1,0))</f>
        <v/>
      </c>
      <c r="M101" s="14">
        <f>IF($A101="","",IF(AND($C101=$J101,$D101=$K101),1,0))</f>
        <v/>
      </c>
      <c r="N101" s="14">
        <f>IF($A101="","",IFERROR(IF(INDEX(TICKETS_DATASET!$J$2:$J$301,MATCH($A101,TICKETS_DATASET!$A$2:$A$301,0))="ambigu",1,0),0))</f>
        <v/>
      </c>
      <c r="O101" s="14">
        <f>IF($A101="","",IF(OR($G101&lt;&gt;"",$L101=0,$M101=0),1,0))</f>
        <v/>
      </c>
    </row>
    <row r="102" ht="34" customHeight="1">
      <c r="A102" s="5" t="n"/>
      <c r="B102" s="5" t="n"/>
      <c r="C102" s="5" t="n"/>
      <c r="D102" s="5" t="n"/>
      <c r="E102" s="10" t="n"/>
      <c r="F102" s="11" t="n"/>
      <c r="G102" s="12" t="n"/>
      <c r="H102" s="12" t="n"/>
      <c r="I102" s="13">
        <f>IFERROR(INDEX(TICKETS_DATASET!$G$2:$G$301,MATCH($A102,TICKETS_DATASET!$A$2:$A$301,0)),"")</f>
        <v/>
      </c>
      <c r="J102" s="13">
        <f>IFERROR(INDEX(TICKETS_DATASET!$D$2:$D$301,MATCH($A102,TICKETS_DATASET!$A$2:$A$301,0)),"")</f>
        <v/>
      </c>
      <c r="K102" s="13">
        <f>IFERROR(INDEX(TICKETS_DATASET!$E$2:$E$301,MATCH($A102,TICKETS_DATASET!$A$2:$A$301,0)),"")</f>
        <v/>
      </c>
      <c r="L102" s="14">
        <f>IF($A102="","",IF($B102=$I102,1,0))</f>
        <v/>
      </c>
      <c r="M102" s="14">
        <f>IF($A102="","",IF(AND($C102=$J102,$D102=$K102),1,0))</f>
        <v/>
      </c>
      <c r="N102" s="14">
        <f>IF($A102="","",IFERROR(IF(INDEX(TICKETS_DATASET!$J$2:$J$301,MATCH($A102,TICKETS_DATASET!$A$2:$A$301,0))="ambigu",1,0),0))</f>
        <v/>
      </c>
      <c r="O102" s="14">
        <f>IF($A102="","",IF(OR($G102&lt;&gt;"",$L102=0,$M102=0),1,0))</f>
        <v/>
      </c>
    </row>
    <row r="103" ht="34" customHeight="1">
      <c r="A103" s="5" t="n"/>
      <c r="B103" s="5" t="n"/>
      <c r="C103" s="5" t="n"/>
      <c r="D103" s="5" t="n"/>
      <c r="E103" s="10" t="n"/>
      <c r="F103" s="11" t="n"/>
      <c r="G103" s="12" t="n"/>
      <c r="H103" s="12" t="n"/>
      <c r="I103" s="13">
        <f>IFERROR(INDEX(TICKETS_DATASET!$G$2:$G$301,MATCH($A103,TICKETS_DATASET!$A$2:$A$301,0)),"")</f>
        <v/>
      </c>
      <c r="J103" s="13">
        <f>IFERROR(INDEX(TICKETS_DATASET!$D$2:$D$301,MATCH($A103,TICKETS_DATASET!$A$2:$A$301,0)),"")</f>
        <v/>
      </c>
      <c r="K103" s="13">
        <f>IFERROR(INDEX(TICKETS_DATASET!$E$2:$E$301,MATCH($A103,TICKETS_DATASET!$A$2:$A$301,0)),"")</f>
        <v/>
      </c>
      <c r="L103" s="14">
        <f>IF($A103="","",IF($B103=$I103,1,0))</f>
        <v/>
      </c>
      <c r="M103" s="14">
        <f>IF($A103="","",IF(AND($C103=$J103,$D103=$K103),1,0))</f>
        <v/>
      </c>
      <c r="N103" s="14">
        <f>IF($A103="","",IFERROR(IF(INDEX(TICKETS_DATASET!$J$2:$J$301,MATCH($A103,TICKETS_DATASET!$A$2:$A$301,0))="ambigu",1,0),0))</f>
        <v/>
      </c>
      <c r="O103" s="14">
        <f>IF($A103="","",IF(OR($G103&lt;&gt;"",$L103=0,$M103=0),1,0))</f>
        <v/>
      </c>
    </row>
    <row r="104" ht="34" customHeight="1">
      <c r="A104" s="5" t="n"/>
      <c r="B104" s="5" t="n"/>
      <c r="C104" s="5" t="n"/>
      <c r="D104" s="5" t="n"/>
      <c r="E104" s="10" t="n"/>
      <c r="F104" s="11" t="n"/>
      <c r="G104" s="12" t="n"/>
      <c r="H104" s="12" t="n"/>
      <c r="I104" s="13">
        <f>IFERROR(INDEX(TICKETS_DATASET!$G$2:$G$301,MATCH($A104,TICKETS_DATASET!$A$2:$A$301,0)),"")</f>
        <v/>
      </c>
      <c r="J104" s="13">
        <f>IFERROR(INDEX(TICKETS_DATASET!$D$2:$D$301,MATCH($A104,TICKETS_DATASET!$A$2:$A$301,0)),"")</f>
        <v/>
      </c>
      <c r="K104" s="13">
        <f>IFERROR(INDEX(TICKETS_DATASET!$E$2:$E$301,MATCH($A104,TICKETS_DATASET!$A$2:$A$301,0)),"")</f>
        <v/>
      </c>
      <c r="L104" s="14">
        <f>IF($A104="","",IF($B104=$I104,1,0))</f>
        <v/>
      </c>
      <c r="M104" s="14">
        <f>IF($A104="","",IF(AND($C104=$J104,$D104=$K104),1,0))</f>
        <v/>
      </c>
      <c r="N104" s="14">
        <f>IF($A104="","",IFERROR(IF(INDEX(TICKETS_DATASET!$J$2:$J$301,MATCH($A104,TICKETS_DATASET!$A$2:$A$301,0))="ambigu",1,0),0))</f>
        <v/>
      </c>
      <c r="O104" s="14">
        <f>IF($A104="","",IF(OR($G104&lt;&gt;"",$L104=0,$M104=0),1,0))</f>
        <v/>
      </c>
    </row>
    <row r="105" ht="34" customHeight="1">
      <c r="A105" s="5" t="n"/>
      <c r="B105" s="5" t="n"/>
      <c r="C105" s="5" t="n"/>
      <c r="D105" s="5" t="n"/>
      <c r="E105" s="10" t="n"/>
      <c r="F105" s="11" t="n"/>
      <c r="G105" s="12" t="n"/>
      <c r="H105" s="12" t="n"/>
      <c r="I105" s="13">
        <f>IFERROR(INDEX(TICKETS_DATASET!$G$2:$G$301,MATCH($A105,TICKETS_DATASET!$A$2:$A$301,0)),"")</f>
        <v/>
      </c>
      <c r="J105" s="13">
        <f>IFERROR(INDEX(TICKETS_DATASET!$D$2:$D$301,MATCH($A105,TICKETS_DATASET!$A$2:$A$301,0)),"")</f>
        <v/>
      </c>
      <c r="K105" s="13">
        <f>IFERROR(INDEX(TICKETS_DATASET!$E$2:$E$301,MATCH($A105,TICKETS_DATASET!$A$2:$A$301,0)),"")</f>
        <v/>
      </c>
      <c r="L105" s="14">
        <f>IF($A105="","",IF($B105=$I105,1,0))</f>
        <v/>
      </c>
      <c r="M105" s="14">
        <f>IF($A105="","",IF(AND($C105=$J105,$D105=$K105),1,0))</f>
        <v/>
      </c>
      <c r="N105" s="14">
        <f>IF($A105="","",IFERROR(IF(INDEX(TICKETS_DATASET!$J$2:$J$301,MATCH($A105,TICKETS_DATASET!$A$2:$A$301,0))="ambigu",1,0),0))</f>
        <v/>
      </c>
      <c r="O105" s="14">
        <f>IF($A105="","",IF(OR($G105&lt;&gt;"",$L105=0,$M105=0),1,0))</f>
        <v/>
      </c>
    </row>
    <row r="106" ht="34" customHeight="1">
      <c r="A106" s="5" t="n"/>
      <c r="B106" s="5" t="n"/>
      <c r="C106" s="5" t="n"/>
      <c r="D106" s="5" t="n"/>
      <c r="E106" s="10" t="n"/>
      <c r="F106" s="11" t="n"/>
      <c r="G106" s="12" t="n"/>
      <c r="H106" s="12" t="n"/>
      <c r="I106" s="13">
        <f>IFERROR(INDEX(TICKETS_DATASET!$G$2:$G$301,MATCH($A106,TICKETS_DATASET!$A$2:$A$301,0)),"")</f>
        <v/>
      </c>
      <c r="J106" s="13">
        <f>IFERROR(INDEX(TICKETS_DATASET!$D$2:$D$301,MATCH($A106,TICKETS_DATASET!$A$2:$A$301,0)),"")</f>
        <v/>
      </c>
      <c r="K106" s="13">
        <f>IFERROR(INDEX(TICKETS_DATASET!$E$2:$E$301,MATCH($A106,TICKETS_DATASET!$A$2:$A$301,0)),"")</f>
        <v/>
      </c>
      <c r="L106" s="14">
        <f>IF($A106="","",IF($B106=$I106,1,0))</f>
        <v/>
      </c>
      <c r="M106" s="14">
        <f>IF($A106="","",IF(AND($C106=$J106,$D106=$K106),1,0))</f>
        <v/>
      </c>
      <c r="N106" s="14">
        <f>IF($A106="","",IFERROR(IF(INDEX(TICKETS_DATASET!$J$2:$J$301,MATCH($A106,TICKETS_DATASET!$A$2:$A$301,0))="ambigu",1,0),0))</f>
        <v/>
      </c>
      <c r="O106" s="14">
        <f>IF($A106="","",IF(OR($G106&lt;&gt;"",$L106=0,$M106=0),1,0))</f>
        <v/>
      </c>
    </row>
    <row r="107" ht="34" customHeight="1">
      <c r="A107" s="5" t="n"/>
      <c r="B107" s="5" t="n"/>
      <c r="C107" s="5" t="n"/>
      <c r="D107" s="5" t="n"/>
      <c r="E107" s="10" t="n"/>
      <c r="F107" s="11" t="n"/>
      <c r="G107" s="12" t="n"/>
      <c r="H107" s="12" t="n"/>
      <c r="I107" s="13">
        <f>IFERROR(INDEX(TICKETS_DATASET!$G$2:$G$301,MATCH($A107,TICKETS_DATASET!$A$2:$A$301,0)),"")</f>
        <v/>
      </c>
      <c r="J107" s="13">
        <f>IFERROR(INDEX(TICKETS_DATASET!$D$2:$D$301,MATCH($A107,TICKETS_DATASET!$A$2:$A$301,0)),"")</f>
        <v/>
      </c>
      <c r="K107" s="13">
        <f>IFERROR(INDEX(TICKETS_DATASET!$E$2:$E$301,MATCH($A107,TICKETS_DATASET!$A$2:$A$301,0)),"")</f>
        <v/>
      </c>
      <c r="L107" s="14">
        <f>IF($A107="","",IF($B107=$I107,1,0))</f>
        <v/>
      </c>
      <c r="M107" s="14">
        <f>IF($A107="","",IF(AND($C107=$J107,$D107=$K107),1,0))</f>
        <v/>
      </c>
      <c r="N107" s="14">
        <f>IF($A107="","",IFERROR(IF(INDEX(TICKETS_DATASET!$J$2:$J$301,MATCH($A107,TICKETS_DATASET!$A$2:$A$301,0))="ambigu",1,0),0))</f>
        <v/>
      </c>
      <c r="O107" s="14">
        <f>IF($A107="","",IF(OR($G107&lt;&gt;"",$L107=0,$M107=0),1,0))</f>
        <v/>
      </c>
    </row>
    <row r="108" ht="34" customHeight="1">
      <c r="A108" s="5" t="n"/>
      <c r="B108" s="5" t="n"/>
      <c r="C108" s="5" t="n"/>
      <c r="D108" s="5" t="n"/>
      <c r="E108" s="10" t="n"/>
      <c r="F108" s="11" t="n"/>
      <c r="G108" s="12" t="n"/>
      <c r="H108" s="12" t="n"/>
      <c r="I108" s="13">
        <f>IFERROR(INDEX(TICKETS_DATASET!$G$2:$G$301,MATCH($A108,TICKETS_DATASET!$A$2:$A$301,0)),"")</f>
        <v/>
      </c>
      <c r="J108" s="13">
        <f>IFERROR(INDEX(TICKETS_DATASET!$D$2:$D$301,MATCH($A108,TICKETS_DATASET!$A$2:$A$301,0)),"")</f>
        <v/>
      </c>
      <c r="K108" s="13">
        <f>IFERROR(INDEX(TICKETS_DATASET!$E$2:$E$301,MATCH($A108,TICKETS_DATASET!$A$2:$A$301,0)),"")</f>
        <v/>
      </c>
      <c r="L108" s="14">
        <f>IF($A108="","",IF($B108=$I108,1,0))</f>
        <v/>
      </c>
      <c r="M108" s="14">
        <f>IF($A108="","",IF(AND($C108=$J108,$D108=$K108),1,0))</f>
        <v/>
      </c>
      <c r="N108" s="14">
        <f>IF($A108="","",IFERROR(IF(INDEX(TICKETS_DATASET!$J$2:$J$301,MATCH($A108,TICKETS_DATASET!$A$2:$A$301,0))="ambigu",1,0),0))</f>
        <v/>
      </c>
      <c r="O108" s="14">
        <f>IF($A108="","",IF(OR($G108&lt;&gt;"",$L108=0,$M108=0),1,0))</f>
        <v/>
      </c>
    </row>
    <row r="109" ht="34" customHeight="1">
      <c r="A109" s="5" t="n"/>
      <c r="B109" s="5" t="n"/>
      <c r="C109" s="5" t="n"/>
      <c r="D109" s="5" t="n"/>
      <c r="E109" s="10" t="n"/>
      <c r="F109" s="11" t="n"/>
      <c r="G109" s="12" t="n"/>
      <c r="H109" s="12" t="n"/>
      <c r="I109" s="13">
        <f>IFERROR(INDEX(TICKETS_DATASET!$G$2:$G$301,MATCH($A109,TICKETS_DATASET!$A$2:$A$301,0)),"")</f>
        <v/>
      </c>
      <c r="J109" s="13">
        <f>IFERROR(INDEX(TICKETS_DATASET!$D$2:$D$301,MATCH($A109,TICKETS_DATASET!$A$2:$A$301,0)),"")</f>
        <v/>
      </c>
      <c r="K109" s="13">
        <f>IFERROR(INDEX(TICKETS_DATASET!$E$2:$E$301,MATCH($A109,TICKETS_DATASET!$A$2:$A$301,0)),"")</f>
        <v/>
      </c>
      <c r="L109" s="14">
        <f>IF($A109="","",IF($B109=$I109,1,0))</f>
        <v/>
      </c>
      <c r="M109" s="14">
        <f>IF($A109="","",IF(AND($C109=$J109,$D109=$K109),1,0))</f>
        <v/>
      </c>
      <c r="N109" s="14">
        <f>IF($A109="","",IFERROR(IF(INDEX(TICKETS_DATASET!$J$2:$J$301,MATCH($A109,TICKETS_DATASET!$A$2:$A$301,0))="ambigu",1,0),0))</f>
        <v/>
      </c>
      <c r="O109" s="14">
        <f>IF($A109="","",IF(OR($G109&lt;&gt;"",$L109=0,$M109=0),1,0))</f>
        <v/>
      </c>
    </row>
    <row r="110" ht="34" customHeight="1">
      <c r="A110" s="5" t="n"/>
      <c r="B110" s="5" t="n"/>
      <c r="C110" s="5" t="n"/>
      <c r="D110" s="5" t="n"/>
      <c r="E110" s="10" t="n"/>
      <c r="F110" s="11" t="n"/>
      <c r="G110" s="12" t="n"/>
      <c r="H110" s="12" t="n"/>
      <c r="I110" s="13">
        <f>IFERROR(INDEX(TICKETS_DATASET!$G$2:$G$301,MATCH($A110,TICKETS_DATASET!$A$2:$A$301,0)),"")</f>
        <v/>
      </c>
      <c r="J110" s="13">
        <f>IFERROR(INDEX(TICKETS_DATASET!$D$2:$D$301,MATCH($A110,TICKETS_DATASET!$A$2:$A$301,0)),"")</f>
        <v/>
      </c>
      <c r="K110" s="13">
        <f>IFERROR(INDEX(TICKETS_DATASET!$E$2:$E$301,MATCH($A110,TICKETS_DATASET!$A$2:$A$301,0)),"")</f>
        <v/>
      </c>
      <c r="L110" s="14">
        <f>IF($A110="","",IF($B110=$I110,1,0))</f>
        <v/>
      </c>
      <c r="M110" s="14">
        <f>IF($A110="","",IF(AND($C110=$J110,$D110=$K110),1,0))</f>
        <v/>
      </c>
      <c r="N110" s="14">
        <f>IF($A110="","",IFERROR(IF(INDEX(TICKETS_DATASET!$J$2:$J$301,MATCH($A110,TICKETS_DATASET!$A$2:$A$301,0))="ambigu",1,0),0))</f>
        <v/>
      </c>
      <c r="O110" s="14">
        <f>IF($A110="","",IF(OR($G110&lt;&gt;"",$L110=0,$M110=0),1,0))</f>
        <v/>
      </c>
    </row>
    <row r="111" ht="34" customHeight="1">
      <c r="A111" s="5" t="n"/>
      <c r="B111" s="5" t="n"/>
      <c r="C111" s="5" t="n"/>
      <c r="D111" s="5" t="n"/>
      <c r="E111" s="10" t="n"/>
      <c r="F111" s="11" t="n"/>
      <c r="G111" s="12" t="n"/>
      <c r="H111" s="12" t="n"/>
      <c r="I111" s="13">
        <f>IFERROR(INDEX(TICKETS_DATASET!$G$2:$G$301,MATCH($A111,TICKETS_DATASET!$A$2:$A$301,0)),"")</f>
        <v/>
      </c>
      <c r="J111" s="13">
        <f>IFERROR(INDEX(TICKETS_DATASET!$D$2:$D$301,MATCH($A111,TICKETS_DATASET!$A$2:$A$301,0)),"")</f>
        <v/>
      </c>
      <c r="K111" s="13">
        <f>IFERROR(INDEX(TICKETS_DATASET!$E$2:$E$301,MATCH($A111,TICKETS_DATASET!$A$2:$A$301,0)),"")</f>
        <v/>
      </c>
      <c r="L111" s="14">
        <f>IF($A111="","",IF($B111=$I111,1,0))</f>
        <v/>
      </c>
      <c r="M111" s="14">
        <f>IF($A111="","",IF(AND($C111=$J111,$D111=$K111),1,0))</f>
        <v/>
      </c>
      <c r="N111" s="14">
        <f>IF($A111="","",IFERROR(IF(INDEX(TICKETS_DATASET!$J$2:$J$301,MATCH($A111,TICKETS_DATASET!$A$2:$A$301,0))="ambigu",1,0),0))</f>
        <v/>
      </c>
      <c r="O111" s="14">
        <f>IF($A111="","",IF(OR($G111&lt;&gt;"",$L111=0,$M111=0),1,0))</f>
        <v/>
      </c>
    </row>
    <row r="112" ht="34" customHeight="1">
      <c r="A112" s="5" t="n"/>
      <c r="B112" s="5" t="n"/>
      <c r="C112" s="5" t="n"/>
      <c r="D112" s="5" t="n"/>
      <c r="E112" s="10" t="n"/>
      <c r="F112" s="11" t="n"/>
      <c r="G112" s="12" t="n"/>
      <c r="H112" s="12" t="n"/>
      <c r="I112" s="13">
        <f>IFERROR(INDEX(TICKETS_DATASET!$G$2:$G$301,MATCH($A112,TICKETS_DATASET!$A$2:$A$301,0)),"")</f>
        <v/>
      </c>
      <c r="J112" s="13">
        <f>IFERROR(INDEX(TICKETS_DATASET!$D$2:$D$301,MATCH($A112,TICKETS_DATASET!$A$2:$A$301,0)),"")</f>
        <v/>
      </c>
      <c r="K112" s="13">
        <f>IFERROR(INDEX(TICKETS_DATASET!$E$2:$E$301,MATCH($A112,TICKETS_DATASET!$A$2:$A$301,0)),"")</f>
        <v/>
      </c>
      <c r="L112" s="14">
        <f>IF($A112="","",IF($B112=$I112,1,0))</f>
        <v/>
      </c>
      <c r="M112" s="14">
        <f>IF($A112="","",IF(AND($C112=$J112,$D112=$K112),1,0))</f>
        <v/>
      </c>
      <c r="N112" s="14">
        <f>IF($A112="","",IFERROR(IF(INDEX(TICKETS_DATASET!$J$2:$J$301,MATCH($A112,TICKETS_DATASET!$A$2:$A$301,0))="ambigu",1,0),0))</f>
        <v/>
      </c>
      <c r="O112" s="14">
        <f>IF($A112="","",IF(OR($G112&lt;&gt;"",$L112=0,$M112=0),1,0))</f>
        <v/>
      </c>
    </row>
    <row r="113" ht="34" customHeight="1">
      <c r="A113" s="5" t="n"/>
      <c r="B113" s="5" t="n"/>
      <c r="C113" s="5" t="n"/>
      <c r="D113" s="5" t="n"/>
      <c r="E113" s="10" t="n"/>
      <c r="F113" s="11" t="n"/>
      <c r="G113" s="12" t="n"/>
      <c r="H113" s="12" t="n"/>
      <c r="I113" s="13">
        <f>IFERROR(INDEX(TICKETS_DATASET!$G$2:$G$301,MATCH($A113,TICKETS_DATASET!$A$2:$A$301,0)),"")</f>
        <v/>
      </c>
      <c r="J113" s="13">
        <f>IFERROR(INDEX(TICKETS_DATASET!$D$2:$D$301,MATCH($A113,TICKETS_DATASET!$A$2:$A$301,0)),"")</f>
        <v/>
      </c>
      <c r="K113" s="13">
        <f>IFERROR(INDEX(TICKETS_DATASET!$E$2:$E$301,MATCH($A113,TICKETS_DATASET!$A$2:$A$301,0)),"")</f>
        <v/>
      </c>
      <c r="L113" s="14">
        <f>IF($A113="","",IF($B113=$I113,1,0))</f>
        <v/>
      </c>
      <c r="M113" s="14">
        <f>IF($A113="","",IF(AND($C113=$J113,$D113=$K113),1,0))</f>
        <v/>
      </c>
      <c r="N113" s="14">
        <f>IF($A113="","",IFERROR(IF(INDEX(TICKETS_DATASET!$J$2:$J$301,MATCH($A113,TICKETS_DATASET!$A$2:$A$301,0))="ambigu",1,0),0))</f>
        <v/>
      </c>
      <c r="O113" s="14">
        <f>IF($A113="","",IF(OR($G113&lt;&gt;"",$L113=0,$M113=0),1,0))</f>
        <v/>
      </c>
    </row>
    <row r="114" ht="34" customHeight="1">
      <c r="A114" s="5" t="n"/>
      <c r="B114" s="5" t="n"/>
      <c r="C114" s="5" t="n"/>
      <c r="D114" s="5" t="n"/>
      <c r="E114" s="10" t="n"/>
      <c r="F114" s="11" t="n"/>
      <c r="G114" s="12" t="n"/>
      <c r="H114" s="12" t="n"/>
      <c r="I114" s="13">
        <f>IFERROR(INDEX(TICKETS_DATASET!$G$2:$G$301,MATCH($A114,TICKETS_DATASET!$A$2:$A$301,0)),"")</f>
        <v/>
      </c>
      <c r="J114" s="13">
        <f>IFERROR(INDEX(TICKETS_DATASET!$D$2:$D$301,MATCH($A114,TICKETS_DATASET!$A$2:$A$301,0)),"")</f>
        <v/>
      </c>
      <c r="K114" s="13">
        <f>IFERROR(INDEX(TICKETS_DATASET!$E$2:$E$301,MATCH($A114,TICKETS_DATASET!$A$2:$A$301,0)),"")</f>
        <v/>
      </c>
      <c r="L114" s="14">
        <f>IF($A114="","",IF($B114=$I114,1,0))</f>
        <v/>
      </c>
      <c r="M114" s="14">
        <f>IF($A114="","",IF(AND($C114=$J114,$D114=$K114),1,0))</f>
        <v/>
      </c>
      <c r="N114" s="14">
        <f>IF($A114="","",IFERROR(IF(INDEX(TICKETS_DATASET!$J$2:$J$301,MATCH($A114,TICKETS_DATASET!$A$2:$A$301,0))="ambigu",1,0),0))</f>
        <v/>
      </c>
      <c r="O114" s="14">
        <f>IF($A114="","",IF(OR($G114&lt;&gt;"",$L114=0,$M114=0),1,0))</f>
        <v/>
      </c>
    </row>
    <row r="115" ht="34" customHeight="1">
      <c r="A115" s="5" t="n"/>
      <c r="B115" s="5" t="n"/>
      <c r="C115" s="5" t="n"/>
      <c r="D115" s="5" t="n"/>
      <c r="E115" s="10" t="n"/>
      <c r="F115" s="11" t="n"/>
      <c r="G115" s="12" t="n"/>
      <c r="H115" s="12" t="n"/>
      <c r="I115" s="13">
        <f>IFERROR(INDEX(TICKETS_DATASET!$G$2:$G$301,MATCH($A115,TICKETS_DATASET!$A$2:$A$301,0)),"")</f>
        <v/>
      </c>
      <c r="J115" s="13">
        <f>IFERROR(INDEX(TICKETS_DATASET!$D$2:$D$301,MATCH($A115,TICKETS_DATASET!$A$2:$A$301,0)),"")</f>
        <v/>
      </c>
      <c r="K115" s="13">
        <f>IFERROR(INDEX(TICKETS_DATASET!$E$2:$E$301,MATCH($A115,TICKETS_DATASET!$A$2:$A$301,0)),"")</f>
        <v/>
      </c>
      <c r="L115" s="14">
        <f>IF($A115="","",IF($B115=$I115,1,0))</f>
        <v/>
      </c>
      <c r="M115" s="14">
        <f>IF($A115="","",IF(AND($C115=$J115,$D115=$K115),1,0))</f>
        <v/>
      </c>
      <c r="N115" s="14">
        <f>IF($A115="","",IFERROR(IF(INDEX(TICKETS_DATASET!$J$2:$J$301,MATCH($A115,TICKETS_DATASET!$A$2:$A$301,0))="ambigu",1,0),0))</f>
        <v/>
      </c>
      <c r="O115" s="14">
        <f>IF($A115="","",IF(OR($G115&lt;&gt;"",$L115=0,$M115=0),1,0))</f>
        <v/>
      </c>
    </row>
    <row r="116" ht="34" customHeight="1">
      <c r="A116" s="5" t="n"/>
      <c r="B116" s="5" t="n"/>
      <c r="C116" s="5" t="n"/>
      <c r="D116" s="5" t="n"/>
      <c r="E116" s="10" t="n"/>
      <c r="F116" s="11" t="n"/>
      <c r="G116" s="12" t="n"/>
      <c r="H116" s="12" t="n"/>
      <c r="I116" s="13">
        <f>IFERROR(INDEX(TICKETS_DATASET!$G$2:$G$301,MATCH($A116,TICKETS_DATASET!$A$2:$A$301,0)),"")</f>
        <v/>
      </c>
      <c r="J116" s="13">
        <f>IFERROR(INDEX(TICKETS_DATASET!$D$2:$D$301,MATCH($A116,TICKETS_DATASET!$A$2:$A$301,0)),"")</f>
        <v/>
      </c>
      <c r="K116" s="13">
        <f>IFERROR(INDEX(TICKETS_DATASET!$E$2:$E$301,MATCH($A116,TICKETS_DATASET!$A$2:$A$301,0)),"")</f>
        <v/>
      </c>
      <c r="L116" s="14">
        <f>IF($A116="","",IF($B116=$I116,1,0))</f>
        <v/>
      </c>
      <c r="M116" s="14">
        <f>IF($A116="","",IF(AND($C116=$J116,$D116=$K116),1,0))</f>
        <v/>
      </c>
      <c r="N116" s="14">
        <f>IF($A116="","",IFERROR(IF(INDEX(TICKETS_DATASET!$J$2:$J$301,MATCH($A116,TICKETS_DATASET!$A$2:$A$301,0))="ambigu",1,0),0))</f>
        <v/>
      </c>
      <c r="O116" s="14">
        <f>IF($A116="","",IF(OR($G116&lt;&gt;"",$L116=0,$M116=0),1,0))</f>
        <v/>
      </c>
    </row>
    <row r="117" ht="34" customHeight="1">
      <c r="A117" s="5" t="n"/>
      <c r="B117" s="5" t="n"/>
      <c r="C117" s="5" t="n"/>
      <c r="D117" s="5" t="n"/>
      <c r="E117" s="10" t="n"/>
      <c r="F117" s="11" t="n"/>
      <c r="G117" s="12" t="n"/>
      <c r="H117" s="12" t="n"/>
      <c r="I117" s="13">
        <f>IFERROR(INDEX(TICKETS_DATASET!$G$2:$G$301,MATCH($A117,TICKETS_DATASET!$A$2:$A$301,0)),"")</f>
        <v/>
      </c>
      <c r="J117" s="13">
        <f>IFERROR(INDEX(TICKETS_DATASET!$D$2:$D$301,MATCH($A117,TICKETS_DATASET!$A$2:$A$301,0)),"")</f>
        <v/>
      </c>
      <c r="K117" s="13">
        <f>IFERROR(INDEX(TICKETS_DATASET!$E$2:$E$301,MATCH($A117,TICKETS_DATASET!$A$2:$A$301,0)),"")</f>
        <v/>
      </c>
      <c r="L117" s="14">
        <f>IF($A117="","",IF($B117=$I117,1,0))</f>
        <v/>
      </c>
      <c r="M117" s="14">
        <f>IF($A117="","",IF(AND($C117=$J117,$D117=$K117),1,0))</f>
        <v/>
      </c>
      <c r="N117" s="14">
        <f>IF($A117="","",IFERROR(IF(INDEX(TICKETS_DATASET!$J$2:$J$301,MATCH($A117,TICKETS_DATASET!$A$2:$A$301,0))="ambigu",1,0),0))</f>
        <v/>
      </c>
      <c r="O117" s="14">
        <f>IF($A117="","",IF(OR($G117&lt;&gt;"",$L117=0,$M117=0),1,0))</f>
        <v/>
      </c>
    </row>
    <row r="118" ht="34" customHeight="1">
      <c r="A118" s="5" t="n"/>
      <c r="B118" s="5" t="n"/>
      <c r="C118" s="5" t="n"/>
      <c r="D118" s="5" t="n"/>
      <c r="E118" s="10" t="n"/>
      <c r="F118" s="11" t="n"/>
      <c r="G118" s="12" t="n"/>
      <c r="H118" s="12" t="n"/>
      <c r="I118" s="13">
        <f>IFERROR(INDEX(TICKETS_DATASET!$G$2:$G$301,MATCH($A118,TICKETS_DATASET!$A$2:$A$301,0)),"")</f>
        <v/>
      </c>
      <c r="J118" s="13">
        <f>IFERROR(INDEX(TICKETS_DATASET!$D$2:$D$301,MATCH($A118,TICKETS_DATASET!$A$2:$A$301,0)),"")</f>
        <v/>
      </c>
      <c r="K118" s="13">
        <f>IFERROR(INDEX(TICKETS_DATASET!$E$2:$E$301,MATCH($A118,TICKETS_DATASET!$A$2:$A$301,0)),"")</f>
        <v/>
      </c>
      <c r="L118" s="14">
        <f>IF($A118="","",IF($B118=$I118,1,0))</f>
        <v/>
      </c>
      <c r="M118" s="14">
        <f>IF($A118="","",IF(AND($C118=$J118,$D118=$K118),1,0))</f>
        <v/>
      </c>
      <c r="N118" s="14">
        <f>IF($A118="","",IFERROR(IF(INDEX(TICKETS_DATASET!$J$2:$J$301,MATCH($A118,TICKETS_DATASET!$A$2:$A$301,0))="ambigu",1,0),0))</f>
        <v/>
      </c>
      <c r="O118" s="14">
        <f>IF($A118="","",IF(OR($G118&lt;&gt;"",$L118=0,$M118=0),1,0))</f>
        <v/>
      </c>
    </row>
    <row r="119" ht="34" customHeight="1">
      <c r="A119" s="5" t="n"/>
      <c r="B119" s="5" t="n"/>
      <c r="C119" s="5" t="n"/>
      <c r="D119" s="5" t="n"/>
      <c r="E119" s="10" t="n"/>
      <c r="F119" s="11" t="n"/>
      <c r="G119" s="12" t="n"/>
      <c r="H119" s="12" t="n"/>
      <c r="I119" s="13">
        <f>IFERROR(INDEX(TICKETS_DATASET!$G$2:$G$301,MATCH($A119,TICKETS_DATASET!$A$2:$A$301,0)),"")</f>
        <v/>
      </c>
      <c r="J119" s="13">
        <f>IFERROR(INDEX(TICKETS_DATASET!$D$2:$D$301,MATCH($A119,TICKETS_DATASET!$A$2:$A$301,0)),"")</f>
        <v/>
      </c>
      <c r="K119" s="13">
        <f>IFERROR(INDEX(TICKETS_DATASET!$E$2:$E$301,MATCH($A119,TICKETS_DATASET!$A$2:$A$301,0)),"")</f>
        <v/>
      </c>
      <c r="L119" s="14">
        <f>IF($A119="","",IF($B119=$I119,1,0))</f>
        <v/>
      </c>
      <c r="M119" s="14">
        <f>IF($A119="","",IF(AND($C119=$J119,$D119=$K119),1,0))</f>
        <v/>
      </c>
      <c r="N119" s="14">
        <f>IF($A119="","",IFERROR(IF(INDEX(TICKETS_DATASET!$J$2:$J$301,MATCH($A119,TICKETS_DATASET!$A$2:$A$301,0))="ambigu",1,0),0))</f>
        <v/>
      </c>
      <c r="O119" s="14">
        <f>IF($A119="","",IF(OR($G119&lt;&gt;"",$L119=0,$M119=0),1,0))</f>
        <v/>
      </c>
    </row>
    <row r="120" ht="34" customHeight="1">
      <c r="A120" s="5" t="n"/>
      <c r="B120" s="5" t="n"/>
      <c r="C120" s="5" t="n"/>
      <c r="D120" s="5" t="n"/>
      <c r="E120" s="10" t="n"/>
      <c r="F120" s="11" t="n"/>
      <c r="G120" s="12" t="n"/>
      <c r="H120" s="12" t="n"/>
      <c r="I120" s="13">
        <f>IFERROR(INDEX(TICKETS_DATASET!$G$2:$G$301,MATCH($A120,TICKETS_DATASET!$A$2:$A$301,0)),"")</f>
        <v/>
      </c>
      <c r="J120" s="13">
        <f>IFERROR(INDEX(TICKETS_DATASET!$D$2:$D$301,MATCH($A120,TICKETS_DATASET!$A$2:$A$301,0)),"")</f>
        <v/>
      </c>
      <c r="K120" s="13">
        <f>IFERROR(INDEX(TICKETS_DATASET!$E$2:$E$301,MATCH($A120,TICKETS_DATASET!$A$2:$A$301,0)),"")</f>
        <v/>
      </c>
      <c r="L120" s="14">
        <f>IF($A120="","",IF($B120=$I120,1,0))</f>
        <v/>
      </c>
      <c r="M120" s="14">
        <f>IF($A120="","",IF(AND($C120=$J120,$D120=$K120),1,0))</f>
        <v/>
      </c>
      <c r="N120" s="14">
        <f>IF($A120="","",IFERROR(IF(INDEX(TICKETS_DATASET!$J$2:$J$301,MATCH($A120,TICKETS_DATASET!$A$2:$A$301,0))="ambigu",1,0),0))</f>
        <v/>
      </c>
      <c r="O120" s="14">
        <f>IF($A120="","",IF(OR($G120&lt;&gt;"",$L120=0,$M120=0),1,0))</f>
        <v/>
      </c>
    </row>
    <row r="121" ht="34" customHeight="1">
      <c r="A121" s="5" t="n"/>
      <c r="B121" s="5" t="n"/>
      <c r="C121" s="5" t="n"/>
      <c r="D121" s="5" t="n"/>
      <c r="E121" s="10" t="n"/>
      <c r="F121" s="11" t="n"/>
      <c r="G121" s="12" t="n"/>
      <c r="H121" s="12" t="n"/>
      <c r="I121" s="13">
        <f>IFERROR(INDEX(TICKETS_DATASET!$G$2:$G$301,MATCH($A121,TICKETS_DATASET!$A$2:$A$301,0)),"")</f>
        <v/>
      </c>
      <c r="J121" s="13">
        <f>IFERROR(INDEX(TICKETS_DATASET!$D$2:$D$301,MATCH($A121,TICKETS_DATASET!$A$2:$A$301,0)),"")</f>
        <v/>
      </c>
      <c r="K121" s="13">
        <f>IFERROR(INDEX(TICKETS_DATASET!$E$2:$E$301,MATCH($A121,TICKETS_DATASET!$A$2:$A$301,0)),"")</f>
        <v/>
      </c>
      <c r="L121" s="14">
        <f>IF($A121="","",IF($B121=$I121,1,0))</f>
        <v/>
      </c>
      <c r="M121" s="14">
        <f>IF($A121="","",IF(AND($C121=$J121,$D121=$K121),1,0))</f>
        <v/>
      </c>
      <c r="N121" s="14">
        <f>IF($A121="","",IFERROR(IF(INDEX(TICKETS_DATASET!$J$2:$J$301,MATCH($A121,TICKETS_DATASET!$A$2:$A$301,0))="ambigu",1,0),0))</f>
        <v/>
      </c>
      <c r="O121" s="14">
        <f>IF($A121="","",IF(OR($G121&lt;&gt;"",$L121=0,$M121=0),1,0))</f>
        <v/>
      </c>
    </row>
    <row r="122" ht="34" customHeight="1">
      <c r="A122" s="5" t="n"/>
      <c r="B122" s="5" t="n"/>
      <c r="C122" s="5" t="n"/>
      <c r="D122" s="5" t="n"/>
      <c r="E122" s="10" t="n"/>
      <c r="F122" s="11" t="n"/>
      <c r="G122" s="12" t="n"/>
      <c r="H122" s="12" t="n"/>
      <c r="I122" s="13">
        <f>IFERROR(INDEX(TICKETS_DATASET!$G$2:$G$301,MATCH($A122,TICKETS_DATASET!$A$2:$A$301,0)),"")</f>
        <v/>
      </c>
      <c r="J122" s="13">
        <f>IFERROR(INDEX(TICKETS_DATASET!$D$2:$D$301,MATCH($A122,TICKETS_DATASET!$A$2:$A$301,0)),"")</f>
        <v/>
      </c>
      <c r="K122" s="13">
        <f>IFERROR(INDEX(TICKETS_DATASET!$E$2:$E$301,MATCH($A122,TICKETS_DATASET!$A$2:$A$301,0)),"")</f>
        <v/>
      </c>
      <c r="L122" s="14">
        <f>IF($A122="","",IF($B122=$I122,1,0))</f>
        <v/>
      </c>
      <c r="M122" s="14">
        <f>IF($A122="","",IF(AND($C122=$J122,$D122=$K122),1,0))</f>
        <v/>
      </c>
      <c r="N122" s="14">
        <f>IF($A122="","",IFERROR(IF(INDEX(TICKETS_DATASET!$J$2:$J$301,MATCH($A122,TICKETS_DATASET!$A$2:$A$301,0))="ambigu",1,0),0))</f>
        <v/>
      </c>
      <c r="O122" s="14">
        <f>IF($A122="","",IF(OR($G122&lt;&gt;"",$L122=0,$M122=0),1,0))</f>
        <v/>
      </c>
    </row>
    <row r="123" ht="34" customHeight="1">
      <c r="A123" s="5" t="n"/>
      <c r="B123" s="5" t="n"/>
      <c r="C123" s="5" t="n"/>
      <c r="D123" s="5" t="n"/>
      <c r="E123" s="10" t="n"/>
      <c r="F123" s="11" t="n"/>
      <c r="G123" s="12" t="n"/>
      <c r="H123" s="12" t="n"/>
      <c r="I123" s="13">
        <f>IFERROR(INDEX(TICKETS_DATASET!$G$2:$G$301,MATCH($A123,TICKETS_DATASET!$A$2:$A$301,0)),"")</f>
        <v/>
      </c>
      <c r="J123" s="13">
        <f>IFERROR(INDEX(TICKETS_DATASET!$D$2:$D$301,MATCH($A123,TICKETS_DATASET!$A$2:$A$301,0)),"")</f>
        <v/>
      </c>
      <c r="K123" s="13">
        <f>IFERROR(INDEX(TICKETS_DATASET!$E$2:$E$301,MATCH($A123,TICKETS_DATASET!$A$2:$A$301,0)),"")</f>
        <v/>
      </c>
      <c r="L123" s="14">
        <f>IF($A123="","",IF($B123=$I123,1,0))</f>
        <v/>
      </c>
      <c r="M123" s="14">
        <f>IF($A123="","",IF(AND($C123=$J123,$D123=$K123),1,0))</f>
        <v/>
      </c>
      <c r="N123" s="14">
        <f>IF($A123="","",IFERROR(IF(INDEX(TICKETS_DATASET!$J$2:$J$301,MATCH($A123,TICKETS_DATASET!$A$2:$A$301,0))="ambigu",1,0),0))</f>
        <v/>
      </c>
      <c r="O123" s="14">
        <f>IF($A123="","",IF(OR($G123&lt;&gt;"",$L123=0,$M123=0),1,0))</f>
        <v/>
      </c>
    </row>
    <row r="124" ht="34" customHeight="1">
      <c r="A124" s="5" t="n"/>
      <c r="B124" s="5" t="n"/>
      <c r="C124" s="5" t="n"/>
      <c r="D124" s="5" t="n"/>
      <c r="E124" s="10" t="n"/>
      <c r="F124" s="11" t="n"/>
      <c r="G124" s="12" t="n"/>
      <c r="H124" s="12" t="n"/>
      <c r="I124" s="13">
        <f>IFERROR(INDEX(TICKETS_DATASET!$G$2:$G$301,MATCH($A124,TICKETS_DATASET!$A$2:$A$301,0)),"")</f>
        <v/>
      </c>
      <c r="J124" s="13">
        <f>IFERROR(INDEX(TICKETS_DATASET!$D$2:$D$301,MATCH($A124,TICKETS_DATASET!$A$2:$A$301,0)),"")</f>
        <v/>
      </c>
      <c r="K124" s="13">
        <f>IFERROR(INDEX(TICKETS_DATASET!$E$2:$E$301,MATCH($A124,TICKETS_DATASET!$A$2:$A$301,0)),"")</f>
        <v/>
      </c>
      <c r="L124" s="14">
        <f>IF($A124="","",IF($B124=$I124,1,0))</f>
        <v/>
      </c>
      <c r="M124" s="14">
        <f>IF($A124="","",IF(AND($C124=$J124,$D124=$K124),1,0))</f>
        <v/>
      </c>
      <c r="N124" s="14">
        <f>IF($A124="","",IFERROR(IF(INDEX(TICKETS_DATASET!$J$2:$J$301,MATCH($A124,TICKETS_DATASET!$A$2:$A$301,0))="ambigu",1,0),0))</f>
        <v/>
      </c>
      <c r="O124" s="14">
        <f>IF($A124="","",IF(OR($G124&lt;&gt;"",$L124=0,$M124=0),1,0))</f>
        <v/>
      </c>
    </row>
    <row r="125" ht="34" customHeight="1">
      <c r="A125" s="5" t="n"/>
      <c r="B125" s="5" t="n"/>
      <c r="C125" s="5" t="n"/>
      <c r="D125" s="5" t="n"/>
      <c r="E125" s="10" t="n"/>
      <c r="F125" s="11" t="n"/>
      <c r="G125" s="12" t="n"/>
      <c r="H125" s="12" t="n"/>
      <c r="I125" s="13">
        <f>IFERROR(INDEX(TICKETS_DATASET!$G$2:$G$301,MATCH($A125,TICKETS_DATASET!$A$2:$A$301,0)),"")</f>
        <v/>
      </c>
      <c r="J125" s="13">
        <f>IFERROR(INDEX(TICKETS_DATASET!$D$2:$D$301,MATCH($A125,TICKETS_DATASET!$A$2:$A$301,0)),"")</f>
        <v/>
      </c>
      <c r="K125" s="13">
        <f>IFERROR(INDEX(TICKETS_DATASET!$E$2:$E$301,MATCH($A125,TICKETS_DATASET!$A$2:$A$301,0)),"")</f>
        <v/>
      </c>
      <c r="L125" s="14">
        <f>IF($A125="","",IF($B125=$I125,1,0))</f>
        <v/>
      </c>
      <c r="M125" s="14">
        <f>IF($A125="","",IF(AND($C125=$J125,$D125=$K125),1,0))</f>
        <v/>
      </c>
      <c r="N125" s="14">
        <f>IF($A125="","",IFERROR(IF(INDEX(TICKETS_DATASET!$J$2:$J$301,MATCH($A125,TICKETS_DATASET!$A$2:$A$301,0))="ambigu",1,0),0))</f>
        <v/>
      </c>
      <c r="O125" s="14">
        <f>IF($A125="","",IF(OR($G125&lt;&gt;"",$L125=0,$M125=0),1,0))</f>
        <v/>
      </c>
    </row>
    <row r="126" ht="34" customHeight="1">
      <c r="A126" s="5" t="n"/>
      <c r="B126" s="5" t="n"/>
      <c r="C126" s="5" t="n"/>
      <c r="D126" s="5" t="n"/>
      <c r="E126" s="10" t="n"/>
      <c r="F126" s="11" t="n"/>
      <c r="G126" s="12" t="n"/>
      <c r="H126" s="12" t="n"/>
      <c r="I126" s="13">
        <f>IFERROR(INDEX(TICKETS_DATASET!$G$2:$G$301,MATCH($A126,TICKETS_DATASET!$A$2:$A$301,0)),"")</f>
        <v/>
      </c>
      <c r="J126" s="13">
        <f>IFERROR(INDEX(TICKETS_DATASET!$D$2:$D$301,MATCH($A126,TICKETS_DATASET!$A$2:$A$301,0)),"")</f>
        <v/>
      </c>
      <c r="K126" s="13">
        <f>IFERROR(INDEX(TICKETS_DATASET!$E$2:$E$301,MATCH($A126,TICKETS_DATASET!$A$2:$A$301,0)),"")</f>
        <v/>
      </c>
      <c r="L126" s="14">
        <f>IF($A126="","",IF($B126=$I126,1,0))</f>
        <v/>
      </c>
      <c r="M126" s="14">
        <f>IF($A126="","",IF(AND($C126=$J126,$D126=$K126),1,0))</f>
        <v/>
      </c>
      <c r="N126" s="14">
        <f>IF($A126="","",IFERROR(IF(INDEX(TICKETS_DATASET!$J$2:$J$301,MATCH($A126,TICKETS_DATASET!$A$2:$A$301,0))="ambigu",1,0),0))</f>
        <v/>
      </c>
      <c r="O126" s="14">
        <f>IF($A126="","",IF(OR($G126&lt;&gt;"",$L126=0,$M126=0),1,0))</f>
        <v/>
      </c>
    </row>
    <row r="127" ht="34" customHeight="1">
      <c r="A127" s="5" t="n"/>
      <c r="B127" s="5" t="n"/>
      <c r="C127" s="5" t="n"/>
      <c r="D127" s="5" t="n"/>
      <c r="E127" s="10" t="n"/>
      <c r="F127" s="11" t="n"/>
      <c r="G127" s="12" t="n"/>
      <c r="H127" s="12" t="n"/>
      <c r="I127" s="13">
        <f>IFERROR(INDEX(TICKETS_DATASET!$G$2:$G$301,MATCH($A127,TICKETS_DATASET!$A$2:$A$301,0)),"")</f>
        <v/>
      </c>
      <c r="J127" s="13">
        <f>IFERROR(INDEX(TICKETS_DATASET!$D$2:$D$301,MATCH($A127,TICKETS_DATASET!$A$2:$A$301,0)),"")</f>
        <v/>
      </c>
      <c r="K127" s="13">
        <f>IFERROR(INDEX(TICKETS_DATASET!$E$2:$E$301,MATCH($A127,TICKETS_DATASET!$A$2:$A$301,0)),"")</f>
        <v/>
      </c>
      <c r="L127" s="14">
        <f>IF($A127="","",IF($B127=$I127,1,0))</f>
        <v/>
      </c>
      <c r="M127" s="14">
        <f>IF($A127="","",IF(AND($C127=$J127,$D127=$K127),1,0))</f>
        <v/>
      </c>
      <c r="N127" s="14">
        <f>IF($A127="","",IFERROR(IF(INDEX(TICKETS_DATASET!$J$2:$J$301,MATCH($A127,TICKETS_DATASET!$A$2:$A$301,0))="ambigu",1,0),0))</f>
        <v/>
      </c>
      <c r="O127" s="14">
        <f>IF($A127="","",IF(OR($G127&lt;&gt;"",$L127=0,$M127=0),1,0))</f>
        <v/>
      </c>
    </row>
    <row r="128" ht="34" customHeight="1">
      <c r="A128" s="5" t="n"/>
      <c r="B128" s="5" t="n"/>
      <c r="C128" s="5" t="n"/>
      <c r="D128" s="5" t="n"/>
      <c r="E128" s="10" t="n"/>
      <c r="F128" s="11" t="n"/>
      <c r="G128" s="12" t="n"/>
      <c r="H128" s="12" t="n"/>
      <c r="I128" s="13">
        <f>IFERROR(INDEX(TICKETS_DATASET!$G$2:$G$301,MATCH($A128,TICKETS_DATASET!$A$2:$A$301,0)),"")</f>
        <v/>
      </c>
      <c r="J128" s="13">
        <f>IFERROR(INDEX(TICKETS_DATASET!$D$2:$D$301,MATCH($A128,TICKETS_DATASET!$A$2:$A$301,0)),"")</f>
        <v/>
      </c>
      <c r="K128" s="13">
        <f>IFERROR(INDEX(TICKETS_DATASET!$E$2:$E$301,MATCH($A128,TICKETS_DATASET!$A$2:$A$301,0)),"")</f>
        <v/>
      </c>
      <c r="L128" s="14">
        <f>IF($A128="","",IF($B128=$I128,1,0))</f>
        <v/>
      </c>
      <c r="M128" s="14">
        <f>IF($A128="","",IF(AND($C128=$J128,$D128=$K128),1,0))</f>
        <v/>
      </c>
      <c r="N128" s="14">
        <f>IF($A128="","",IFERROR(IF(INDEX(TICKETS_DATASET!$J$2:$J$301,MATCH($A128,TICKETS_DATASET!$A$2:$A$301,0))="ambigu",1,0),0))</f>
        <v/>
      </c>
      <c r="O128" s="14">
        <f>IF($A128="","",IF(OR($G128&lt;&gt;"",$L128=0,$M128=0),1,0))</f>
        <v/>
      </c>
    </row>
    <row r="129" ht="34" customHeight="1">
      <c r="A129" s="5" t="n"/>
      <c r="B129" s="5" t="n"/>
      <c r="C129" s="5" t="n"/>
      <c r="D129" s="5" t="n"/>
      <c r="E129" s="10" t="n"/>
      <c r="F129" s="11" t="n"/>
      <c r="G129" s="12" t="n"/>
      <c r="H129" s="12" t="n"/>
      <c r="I129" s="13">
        <f>IFERROR(INDEX(TICKETS_DATASET!$G$2:$G$301,MATCH($A129,TICKETS_DATASET!$A$2:$A$301,0)),"")</f>
        <v/>
      </c>
      <c r="J129" s="13">
        <f>IFERROR(INDEX(TICKETS_DATASET!$D$2:$D$301,MATCH($A129,TICKETS_DATASET!$A$2:$A$301,0)),"")</f>
        <v/>
      </c>
      <c r="K129" s="13">
        <f>IFERROR(INDEX(TICKETS_DATASET!$E$2:$E$301,MATCH($A129,TICKETS_DATASET!$A$2:$A$301,0)),"")</f>
        <v/>
      </c>
      <c r="L129" s="14">
        <f>IF($A129="","",IF($B129=$I129,1,0))</f>
        <v/>
      </c>
      <c r="M129" s="14">
        <f>IF($A129="","",IF(AND($C129=$J129,$D129=$K129),1,0))</f>
        <v/>
      </c>
      <c r="N129" s="14">
        <f>IF($A129="","",IFERROR(IF(INDEX(TICKETS_DATASET!$J$2:$J$301,MATCH($A129,TICKETS_DATASET!$A$2:$A$301,0))="ambigu",1,0),0))</f>
        <v/>
      </c>
      <c r="O129" s="14">
        <f>IF($A129="","",IF(OR($G129&lt;&gt;"",$L129=0,$M129=0),1,0))</f>
        <v/>
      </c>
    </row>
    <row r="130" ht="34" customHeight="1">
      <c r="A130" s="5" t="n"/>
      <c r="B130" s="5" t="n"/>
      <c r="C130" s="5" t="n"/>
      <c r="D130" s="5" t="n"/>
      <c r="E130" s="10" t="n"/>
      <c r="F130" s="11" t="n"/>
      <c r="G130" s="12" t="n"/>
      <c r="H130" s="12" t="n"/>
      <c r="I130" s="13">
        <f>IFERROR(INDEX(TICKETS_DATASET!$G$2:$G$301,MATCH($A130,TICKETS_DATASET!$A$2:$A$301,0)),"")</f>
        <v/>
      </c>
      <c r="J130" s="13">
        <f>IFERROR(INDEX(TICKETS_DATASET!$D$2:$D$301,MATCH($A130,TICKETS_DATASET!$A$2:$A$301,0)),"")</f>
        <v/>
      </c>
      <c r="K130" s="13">
        <f>IFERROR(INDEX(TICKETS_DATASET!$E$2:$E$301,MATCH($A130,TICKETS_DATASET!$A$2:$A$301,0)),"")</f>
        <v/>
      </c>
      <c r="L130" s="14">
        <f>IF($A130="","",IF($B130=$I130,1,0))</f>
        <v/>
      </c>
      <c r="M130" s="14">
        <f>IF($A130="","",IF(AND($C130=$J130,$D130=$K130),1,0))</f>
        <v/>
      </c>
      <c r="N130" s="14">
        <f>IF($A130="","",IFERROR(IF(INDEX(TICKETS_DATASET!$J$2:$J$301,MATCH($A130,TICKETS_DATASET!$A$2:$A$301,0))="ambigu",1,0),0))</f>
        <v/>
      </c>
      <c r="O130" s="14">
        <f>IF($A130="","",IF(OR($G130&lt;&gt;"",$L130=0,$M130=0),1,0))</f>
        <v/>
      </c>
    </row>
    <row r="131" ht="34" customHeight="1">
      <c r="A131" s="5" t="n"/>
      <c r="B131" s="5" t="n"/>
      <c r="C131" s="5" t="n"/>
      <c r="D131" s="5" t="n"/>
      <c r="E131" s="10" t="n"/>
      <c r="F131" s="11" t="n"/>
      <c r="G131" s="12" t="n"/>
      <c r="H131" s="12" t="n"/>
      <c r="I131" s="13">
        <f>IFERROR(INDEX(TICKETS_DATASET!$G$2:$G$301,MATCH($A131,TICKETS_DATASET!$A$2:$A$301,0)),"")</f>
        <v/>
      </c>
      <c r="J131" s="13">
        <f>IFERROR(INDEX(TICKETS_DATASET!$D$2:$D$301,MATCH($A131,TICKETS_DATASET!$A$2:$A$301,0)),"")</f>
        <v/>
      </c>
      <c r="K131" s="13">
        <f>IFERROR(INDEX(TICKETS_DATASET!$E$2:$E$301,MATCH($A131,TICKETS_DATASET!$A$2:$A$301,0)),"")</f>
        <v/>
      </c>
      <c r="L131" s="14">
        <f>IF($A131="","",IF($B131=$I131,1,0))</f>
        <v/>
      </c>
      <c r="M131" s="14">
        <f>IF($A131="","",IF(AND($C131=$J131,$D131=$K131),1,0))</f>
        <v/>
      </c>
      <c r="N131" s="14">
        <f>IF($A131="","",IFERROR(IF(INDEX(TICKETS_DATASET!$J$2:$J$301,MATCH($A131,TICKETS_DATASET!$A$2:$A$301,0))="ambigu",1,0),0))</f>
        <v/>
      </c>
      <c r="O131" s="14">
        <f>IF($A131="","",IF(OR($G131&lt;&gt;"",$L131=0,$M131=0),1,0))</f>
        <v/>
      </c>
    </row>
    <row r="132" ht="34" customHeight="1">
      <c r="A132" s="5" t="n"/>
      <c r="B132" s="5" t="n"/>
      <c r="C132" s="5" t="n"/>
      <c r="D132" s="5" t="n"/>
      <c r="E132" s="10" t="n"/>
      <c r="F132" s="11" t="n"/>
      <c r="G132" s="12" t="n"/>
      <c r="H132" s="12" t="n"/>
      <c r="I132" s="13">
        <f>IFERROR(INDEX(TICKETS_DATASET!$G$2:$G$301,MATCH($A132,TICKETS_DATASET!$A$2:$A$301,0)),"")</f>
        <v/>
      </c>
      <c r="J132" s="13">
        <f>IFERROR(INDEX(TICKETS_DATASET!$D$2:$D$301,MATCH($A132,TICKETS_DATASET!$A$2:$A$301,0)),"")</f>
        <v/>
      </c>
      <c r="K132" s="13">
        <f>IFERROR(INDEX(TICKETS_DATASET!$E$2:$E$301,MATCH($A132,TICKETS_DATASET!$A$2:$A$301,0)),"")</f>
        <v/>
      </c>
      <c r="L132" s="14">
        <f>IF($A132="","",IF($B132=$I132,1,0))</f>
        <v/>
      </c>
      <c r="M132" s="14">
        <f>IF($A132="","",IF(AND($C132=$J132,$D132=$K132),1,0))</f>
        <v/>
      </c>
      <c r="N132" s="14">
        <f>IF($A132="","",IFERROR(IF(INDEX(TICKETS_DATASET!$J$2:$J$301,MATCH($A132,TICKETS_DATASET!$A$2:$A$301,0))="ambigu",1,0),0))</f>
        <v/>
      </c>
      <c r="O132" s="14">
        <f>IF($A132="","",IF(OR($G132&lt;&gt;"",$L132=0,$M132=0),1,0))</f>
        <v/>
      </c>
    </row>
    <row r="133" ht="34" customHeight="1">
      <c r="A133" s="5" t="n"/>
      <c r="B133" s="5" t="n"/>
      <c r="C133" s="5" t="n"/>
      <c r="D133" s="5" t="n"/>
      <c r="E133" s="10" t="n"/>
      <c r="F133" s="11" t="n"/>
      <c r="G133" s="12" t="n"/>
      <c r="H133" s="12" t="n"/>
      <c r="I133" s="13">
        <f>IFERROR(INDEX(TICKETS_DATASET!$G$2:$G$301,MATCH($A133,TICKETS_DATASET!$A$2:$A$301,0)),"")</f>
        <v/>
      </c>
      <c r="J133" s="13">
        <f>IFERROR(INDEX(TICKETS_DATASET!$D$2:$D$301,MATCH($A133,TICKETS_DATASET!$A$2:$A$301,0)),"")</f>
        <v/>
      </c>
      <c r="K133" s="13">
        <f>IFERROR(INDEX(TICKETS_DATASET!$E$2:$E$301,MATCH($A133,TICKETS_DATASET!$A$2:$A$301,0)),"")</f>
        <v/>
      </c>
      <c r="L133" s="14">
        <f>IF($A133="","",IF($B133=$I133,1,0))</f>
        <v/>
      </c>
      <c r="M133" s="14">
        <f>IF($A133="","",IF(AND($C133=$J133,$D133=$K133),1,0))</f>
        <v/>
      </c>
      <c r="N133" s="14">
        <f>IF($A133="","",IFERROR(IF(INDEX(TICKETS_DATASET!$J$2:$J$301,MATCH($A133,TICKETS_DATASET!$A$2:$A$301,0))="ambigu",1,0),0))</f>
        <v/>
      </c>
      <c r="O133" s="14">
        <f>IF($A133="","",IF(OR($G133&lt;&gt;"",$L133=0,$M133=0),1,0))</f>
        <v/>
      </c>
    </row>
    <row r="134" ht="34" customHeight="1">
      <c r="A134" s="5" t="n"/>
      <c r="B134" s="5" t="n"/>
      <c r="C134" s="5" t="n"/>
      <c r="D134" s="5" t="n"/>
      <c r="E134" s="10" t="n"/>
      <c r="F134" s="11" t="n"/>
      <c r="G134" s="12" t="n"/>
      <c r="H134" s="12" t="n"/>
      <c r="I134" s="13">
        <f>IFERROR(INDEX(TICKETS_DATASET!$G$2:$G$301,MATCH($A134,TICKETS_DATASET!$A$2:$A$301,0)),"")</f>
        <v/>
      </c>
      <c r="J134" s="13">
        <f>IFERROR(INDEX(TICKETS_DATASET!$D$2:$D$301,MATCH($A134,TICKETS_DATASET!$A$2:$A$301,0)),"")</f>
        <v/>
      </c>
      <c r="K134" s="13">
        <f>IFERROR(INDEX(TICKETS_DATASET!$E$2:$E$301,MATCH($A134,TICKETS_DATASET!$A$2:$A$301,0)),"")</f>
        <v/>
      </c>
      <c r="L134" s="14">
        <f>IF($A134="","",IF($B134=$I134,1,0))</f>
        <v/>
      </c>
      <c r="M134" s="14">
        <f>IF($A134="","",IF(AND($C134=$J134,$D134=$K134),1,0))</f>
        <v/>
      </c>
      <c r="N134" s="14">
        <f>IF($A134="","",IFERROR(IF(INDEX(TICKETS_DATASET!$J$2:$J$301,MATCH($A134,TICKETS_DATASET!$A$2:$A$301,0))="ambigu",1,0),0))</f>
        <v/>
      </c>
      <c r="O134" s="14">
        <f>IF($A134="","",IF(OR($G134&lt;&gt;"",$L134=0,$M134=0),1,0))</f>
        <v/>
      </c>
    </row>
    <row r="135" ht="34" customHeight="1">
      <c r="A135" s="5" t="n"/>
      <c r="B135" s="5" t="n"/>
      <c r="C135" s="5" t="n"/>
      <c r="D135" s="5" t="n"/>
      <c r="E135" s="10" t="n"/>
      <c r="F135" s="11" t="n"/>
      <c r="G135" s="12" t="n"/>
      <c r="H135" s="12" t="n"/>
      <c r="I135" s="13">
        <f>IFERROR(INDEX(TICKETS_DATASET!$G$2:$G$301,MATCH($A135,TICKETS_DATASET!$A$2:$A$301,0)),"")</f>
        <v/>
      </c>
      <c r="J135" s="13">
        <f>IFERROR(INDEX(TICKETS_DATASET!$D$2:$D$301,MATCH($A135,TICKETS_DATASET!$A$2:$A$301,0)),"")</f>
        <v/>
      </c>
      <c r="K135" s="13">
        <f>IFERROR(INDEX(TICKETS_DATASET!$E$2:$E$301,MATCH($A135,TICKETS_DATASET!$A$2:$A$301,0)),"")</f>
        <v/>
      </c>
      <c r="L135" s="14">
        <f>IF($A135="","",IF($B135=$I135,1,0))</f>
        <v/>
      </c>
      <c r="M135" s="14">
        <f>IF($A135="","",IF(AND($C135=$J135,$D135=$K135),1,0))</f>
        <v/>
      </c>
      <c r="N135" s="14">
        <f>IF($A135="","",IFERROR(IF(INDEX(TICKETS_DATASET!$J$2:$J$301,MATCH($A135,TICKETS_DATASET!$A$2:$A$301,0))="ambigu",1,0),0))</f>
        <v/>
      </c>
      <c r="O135" s="14">
        <f>IF($A135="","",IF(OR($G135&lt;&gt;"",$L135=0,$M135=0),1,0))</f>
        <v/>
      </c>
    </row>
    <row r="136" ht="34" customHeight="1">
      <c r="A136" s="5" t="n"/>
      <c r="B136" s="5" t="n"/>
      <c r="C136" s="5" t="n"/>
      <c r="D136" s="5" t="n"/>
      <c r="E136" s="10" t="n"/>
      <c r="F136" s="11" t="n"/>
      <c r="G136" s="12" t="n"/>
      <c r="H136" s="12" t="n"/>
      <c r="I136" s="13">
        <f>IFERROR(INDEX(TICKETS_DATASET!$G$2:$G$301,MATCH($A136,TICKETS_DATASET!$A$2:$A$301,0)),"")</f>
        <v/>
      </c>
      <c r="J136" s="13">
        <f>IFERROR(INDEX(TICKETS_DATASET!$D$2:$D$301,MATCH($A136,TICKETS_DATASET!$A$2:$A$301,0)),"")</f>
        <v/>
      </c>
      <c r="K136" s="13">
        <f>IFERROR(INDEX(TICKETS_DATASET!$E$2:$E$301,MATCH($A136,TICKETS_DATASET!$A$2:$A$301,0)),"")</f>
        <v/>
      </c>
      <c r="L136" s="14">
        <f>IF($A136="","",IF($B136=$I136,1,0))</f>
        <v/>
      </c>
      <c r="M136" s="14">
        <f>IF($A136="","",IF(AND($C136=$J136,$D136=$K136),1,0))</f>
        <v/>
      </c>
      <c r="N136" s="14">
        <f>IF($A136="","",IFERROR(IF(INDEX(TICKETS_DATASET!$J$2:$J$301,MATCH($A136,TICKETS_DATASET!$A$2:$A$301,0))="ambigu",1,0),0))</f>
        <v/>
      </c>
      <c r="O136" s="14">
        <f>IF($A136="","",IF(OR($G136&lt;&gt;"",$L136=0,$M136=0),1,0))</f>
        <v/>
      </c>
    </row>
    <row r="137" ht="34" customHeight="1">
      <c r="A137" s="5" t="n"/>
      <c r="B137" s="5" t="n"/>
      <c r="C137" s="5" t="n"/>
      <c r="D137" s="5" t="n"/>
      <c r="E137" s="10" t="n"/>
      <c r="F137" s="11" t="n"/>
      <c r="G137" s="12" t="n"/>
      <c r="H137" s="12" t="n"/>
      <c r="I137" s="13">
        <f>IFERROR(INDEX(TICKETS_DATASET!$G$2:$G$301,MATCH($A137,TICKETS_DATASET!$A$2:$A$301,0)),"")</f>
        <v/>
      </c>
      <c r="J137" s="13">
        <f>IFERROR(INDEX(TICKETS_DATASET!$D$2:$D$301,MATCH($A137,TICKETS_DATASET!$A$2:$A$301,0)),"")</f>
        <v/>
      </c>
      <c r="K137" s="13">
        <f>IFERROR(INDEX(TICKETS_DATASET!$E$2:$E$301,MATCH($A137,TICKETS_DATASET!$A$2:$A$301,0)),"")</f>
        <v/>
      </c>
      <c r="L137" s="14">
        <f>IF($A137="","",IF($B137=$I137,1,0))</f>
        <v/>
      </c>
      <c r="M137" s="14">
        <f>IF($A137="","",IF(AND($C137=$J137,$D137=$K137),1,0))</f>
        <v/>
      </c>
      <c r="N137" s="14">
        <f>IF($A137="","",IFERROR(IF(INDEX(TICKETS_DATASET!$J$2:$J$301,MATCH($A137,TICKETS_DATASET!$A$2:$A$301,0))="ambigu",1,0),0))</f>
        <v/>
      </c>
      <c r="O137" s="14">
        <f>IF($A137="","",IF(OR($G137&lt;&gt;"",$L137=0,$M137=0),1,0))</f>
        <v/>
      </c>
    </row>
    <row r="138" ht="34" customHeight="1">
      <c r="A138" s="5" t="n"/>
      <c r="B138" s="5" t="n"/>
      <c r="C138" s="5" t="n"/>
      <c r="D138" s="5" t="n"/>
      <c r="E138" s="10" t="n"/>
      <c r="F138" s="11" t="n"/>
      <c r="G138" s="12" t="n"/>
      <c r="H138" s="12" t="n"/>
      <c r="I138" s="13">
        <f>IFERROR(INDEX(TICKETS_DATASET!$G$2:$G$301,MATCH($A138,TICKETS_DATASET!$A$2:$A$301,0)),"")</f>
        <v/>
      </c>
      <c r="J138" s="13">
        <f>IFERROR(INDEX(TICKETS_DATASET!$D$2:$D$301,MATCH($A138,TICKETS_DATASET!$A$2:$A$301,0)),"")</f>
        <v/>
      </c>
      <c r="K138" s="13">
        <f>IFERROR(INDEX(TICKETS_DATASET!$E$2:$E$301,MATCH($A138,TICKETS_DATASET!$A$2:$A$301,0)),"")</f>
        <v/>
      </c>
      <c r="L138" s="14">
        <f>IF($A138="","",IF($B138=$I138,1,0))</f>
        <v/>
      </c>
      <c r="M138" s="14">
        <f>IF($A138="","",IF(AND($C138=$J138,$D138=$K138),1,0))</f>
        <v/>
      </c>
      <c r="N138" s="14">
        <f>IF($A138="","",IFERROR(IF(INDEX(TICKETS_DATASET!$J$2:$J$301,MATCH($A138,TICKETS_DATASET!$A$2:$A$301,0))="ambigu",1,0),0))</f>
        <v/>
      </c>
      <c r="O138" s="14">
        <f>IF($A138="","",IF(OR($G138&lt;&gt;"",$L138=0,$M138=0),1,0))</f>
        <v/>
      </c>
    </row>
    <row r="139" ht="34" customHeight="1">
      <c r="A139" s="5" t="n"/>
      <c r="B139" s="5" t="n"/>
      <c r="C139" s="5" t="n"/>
      <c r="D139" s="5" t="n"/>
      <c r="E139" s="10" t="n"/>
      <c r="F139" s="11" t="n"/>
      <c r="G139" s="12" t="n"/>
      <c r="H139" s="12" t="n"/>
      <c r="I139" s="13">
        <f>IFERROR(INDEX(TICKETS_DATASET!$G$2:$G$301,MATCH($A139,TICKETS_DATASET!$A$2:$A$301,0)),"")</f>
        <v/>
      </c>
      <c r="J139" s="13">
        <f>IFERROR(INDEX(TICKETS_DATASET!$D$2:$D$301,MATCH($A139,TICKETS_DATASET!$A$2:$A$301,0)),"")</f>
        <v/>
      </c>
      <c r="K139" s="13">
        <f>IFERROR(INDEX(TICKETS_DATASET!$E$2:$E$301,MATCH($A139,TICKETS_DATASET!$A$2:$A$301,0)),"")</f>
        <v/>
      </c>
      <c r="L139" s="14">
        <f>IF($A139="","",IF($B139=$I139,1,0))</f>
        <v/>
      </c>
      <c r="M139" s="14">
        <f>IF($A139="","",IF(AND($C139=$J139,$D139=$K139),1,0))</f>
        <v/>
      </c>
      <c r="N139" s="14">
        <f>IF($A139="","",IFERROR(IF(INDEX(TICKETS_DATASET!$J$2:$J$301,MATCH($A139,TICKETS_DATASET!$A$2:$A$301,0))="ambigu",1,0),0))</f>
        <v/>
      </c>
      <c r="O139" s="14">
        <f>IF($A139="","",IF(OR($G139&lt;&gt;"",$L139=0,$M139=0),1,0))</f>
        <v/>
      </c>
    </row>
    <row r="140" ht="34" customHeight="1">
      <c r="A140" s="5" t="n"/>
      <c r="B140" s="5" t="n"/>
      <c r="C140" s="5" t="n"/>
      <c r="D140" s="5" t="n"/>
      <c r="E140" s="10" t="n"/>
      <c r="F140" s="11" t="n"/>
      <c r="G140" s="12" t="n"/>
      <c r="H140" s="12" t="n"/>
      <c r="I140" s="13">
        <f>IFERROR(INDEX(TICKETS_DATASET!$G$2:$G$301,MATCH($A140,TICKETS_DATASET!$A$2:$A$301,0)),"")</f>
        <v/>
      </c>
      <c r="J140" s="13">
        <f>IFERROR(INDEX(TICKETS_DATASET!$D$2:$D$301,MATCH($A140,TICKETS_DATASET!$A$2:$A$301,0)),"")</f>
        <v/>
      </c>
      <c r="K140" s="13">
        <f>IFERROR(INDEX(TICKETS_DATASET!$E$2:$E$301,MATCH($A140,TICKETS_DATASET!$A$2:$A$301,0)),"")</f>
        <v/>
      </c>
      <c r="L140" s="14">
        <f>IF($A140="","",IF($B140=$I140,1,0))</f>
        <v/>
      </c>
      <c r="M140" s="14">
        <f>IF($A140="","",IF(AND($C140=$J140,$D140=$K140),1,0))</f>
        <v/>
      </c>
      <c r="N140" s="14">
        <f>IF($A140="","",IFERROR(IF(INDEX(TICKETS_DATASET!$J$2:$J$301,MATCH($A140,TICKETS_DATASET!$A$2:$A$301,0))="ambigu",1,0),0))</f>
        <v/>
      </c>
      <c r="O140" s="14">
        <f>IF($A140="","",IF(OR($G140&lt;&gt;"",$L140=0,$M140=0),1,0))</f>
        <v/>
      </c>
    </row>
    <row r="141" ht="34" customHeight="1">
      <c r="A141" s="5" t="n"/>
      <c r="B141" s="5" t="n"/>
      <c r="C141" s="5" t="n"/>
      <c r="D141" s="5" t="n"/>
      <c r="E141" s="10" t="n"/>
      <c r="F141" s="11" t="n"/>
      <c r="G141" s="12" t="n"/>
      <c r="H141" s="12" t="n"/>
      <c r="I141" s="13">
        <f>IFERROR(INDEX(TICKETS_DATASET!$G$2:$G$301,MATCH($A141,TICKETS_DATASET!$A$2:$A$301,0)),"")</f>
        <v/>
      </c>
      <c r="J141" s="13">
        <f>IFERROR(INDEX(TICKETS_DATASET!$D$2:$D$301,MATCH($A141,TICKETS_DATASET!$A$2:$A$301,0)),"")</f>
        <v/>
      </c>
      <c r="K141" s="13">
        <f>IFERROR(INDEX(TICKETS_DATASET!$E$2:$E$301,MATCH($A141,TICKETS_DATASET!$A$2:$A$301,0)),"")</f>
        <v/>
      </c>
      <c r="L141" s="14">
        <f>IF($A141="","",IF($B141=$I141,1,0))</f>
        <v/>
      </c>
      <c r="M141" s="14">
        <f>IF($A141="","",IF(AND($C141=$J141,$D141=$K141),1,0))</f>
        <v/>
      </c>
      <c r="N141" s="14">
        <f>IF($A141="","",IFERROR(IF(INDEX(TICKETS_DATASET!$J$2:$J$301,MATCH($A141,TICKETS_DATASET!$A$2:$A$301,0))="ambigu",1,0),0))</f>
        <v/>
      </c>
      <c r="O141" s="14">
        <f>IF($A141="","",IF(OR($G141&lt;&gt;"",$L141=0,$M141=0),1,0))</f>
        <v/>
      </c>
    </row>
    <row r="142" ht="34" customHeight="1">
      <c r="A142" s="5" t="n"/>
      <c r="B142" s="5" t="n"/>
      <c r="C142" s="5" t="n"/>
      <c r="D142" s="5" t="n"/>
      <c r="E142" s="10" t="n"/>
      <c r="F142" s="11" t="n"/>
      <c r="G142" s="12" t="n"/>
      <c r="H142" s="12" t="n"/>
      <c r="I142" s="13">
        <f>IFERROR(INDEX(TICKETS_DATASET!$G$2:$G$301,MATCH($A142,TICKETS_DATASET!$A$2:$A$301,0)),"")</f>
        <v/>
      </c>
      <c r="J142" s="13">
        <f>IFERROR(INDEX(TICKETS_DATASET!$D$2:$D$301,MATCH($A142,TICKETS_DATASET!$A$2:$A$301,0)),"")</f>
        <v/>
      </c>
      <c r="K142" s="13">
        <f>IFERROR(INDEX(TICKETS_DATASET!$E$2:$E$301,MATCH($A142,TICKETS_DATASET!$A$2:$A$301,0)),"")</f>
        <v/>
      </c>
      <c r="L142" s="14">
        <f>IF($A142="","",IF($B142=$I142,1,0))</f>
        <v/>
      </c>
      <c r="M142" s="14">
        <f>IF($A142="","",IF(AND($C142=$J142,$D142=$K142),1,0))</f>
        <v/>
      </c>
      <c r="N142" s="14">
        <f>IF($A142="","",IFERROR(IF(INDEX(TICKETS_DATASET!$J$2:$J$301,MATCH($A142,TICKETS_DATASET!$A$2:$A$301,0))="ambigu",1,0),0))</f>
        <v/>
      </c>
      <c r="O142" s="14">
        <f>IF($A142="","",IF(OR($G142&lt;&gt;"",$L142=0,$M142=0),1,0))</f>
        <v/>
      </c>
    </row>
    <row r="143" ht="34" customHeight="1">
      <c r="A143" s="5" t="n"/>
      <c r="B143" s="5" t="n"/>
      <c r="C143" s="5" t="n"/>
      <c r="D143" s="5" t="n"/>
      <c r="E143" s="10" t="n"/>
      <c r="F143" s="11" t="n"/>
      <c r="G143" s="12" t="n"/>
      <c r="H143" s="12" t="n"/>
      <c r="I143" s="13">
        <f>IFERROR(INDEX(TICKETS_DATASET!$G$2:$G$301,MATCH($A143,TICKETS_DATASET!$A$2:$A$301,0)),"")</f>
        <v/>
      </c>
      <c r="J143" s="13">
        <f>IFERROR(INDEX(TICKETS_DATASET!$D$2:$D$301,MATCH($A143,TICKETS_DATASET!$A$2:$A$301,0)),"")</f>
        <v/>
      </c>
      <c r="K143" s="13">
        <f>IFERROR(INDEX(TICKETS_DATASET!$E$2:$E$301,MATCH($A143,TICKETS_DATASET!$A$2:$A$301,0)),"")</f>
        <v/>
      </c>
      <c r="L143" s="14">
        <f>IF($A143="","",IF($B143=$I143,1,0))</f>
        <v/>
      </c>
      <c r="M143" s="14">
        <f>IF($A143="","",IF(AND($C143=$J143,$D143=$K143),1,0))</f>
        <v/>
      </c>
      <c r="N143" s="14">
        <f>IF($A143="","",IFERROR(IF(INDEX(TICKETS_DATASET!$J$2:$J$301,MATCH($A143,TICKETS_DATASET!$A$2:$A$301,0))="ambigu",1,0),0))</f>
        <v/>
      </c>
      <c r="O143" s="14">
        <f>IF($A143="","",IF(OR($G143&lt;&gt;"",$L143=0,$M143=0),1,0))</f>
        <v/>
      </c>
    </row>
    <row r="144" ht="34" customHeight="1">
      <c r="A144" s="5" t="n"/>
      <c r="B144" s="5" t="n"/>
      <c r="C144" s="5" t="n"/>
      <c r="D144" s="5" t="n"/>
      <c r="E144" s="10" t="n"/>
      <c r="F144" s="11" t="n"/>
      <c r="G144" s="12" t="n"/>
      <c r="H144" s="12" t="n"/>
      <c r="I144" s="13">
        <f>IFERROR(INDEX(TICKETS_DATASET!$G$2:$G$301,MATCH($A144,TICKETS_DATASET!$A$2:$A$301,0)),"")</f>
        <v/>
      </c>
      <c r="J144" s="13">
        <f>IFERROR(INDEX(TICKETS_DATASET!$D$2:$D$301,MATCH($A144,TICKETS_DATASET!$A$2:$A$301,0)),"")</f>
        <v/>
      </c>
      <c r="K144" s="13">
        <f>IFERROR(INDEX(TICKETS_DATASET!$E$2:$E$301,MATCH($A144,TICKETS_DATASET!$A$2:$A$301,0)),"")</f>
        <v/>
      </c>
      <c r="L144" s="14">
        <f>IF($A144="","",IF($B144=$I144,1,0))</f>
        <v/>
      </c>
      <c r="M144" s="14">
        <f>IF($A144="","",IF(AND($C144=$J144,$D144=$K144),1,0))</f>
        <v/>
      </c>
      <c r="N144" s="14">
        <f>IF($A144="","",IFERROR(IF(INDEX(TICKETS_DATASET!$J$2:$J$301,MATCH($A144,TICKETS_DATASET!$A$2:$A$301,0))="ambigu",1,0),0))</f>
        <v/>
      </c>
      <c r="O144" s="14">
        <f>IF($A144="","",IF(OR($G144&lt;&gt;"",$L144=0,$M144=0),1,0))</f>
        <v/>
      </c>
    </row>
    <row r="145" ht="34" customHeight="1">
      <c r="A145" s="5" t="n"/>
      <c r="B145" s="5" t="n"/>
      <c r="C145" s="5" t="n"/>
      <c r="D145" s="5" t="n"/>
      <c r="E145" s="10" t="n"/>
      <c r="F145" s="11" t="n"/>
      <c r="G145" s="12" t="n"/>
      <c r="H145" s="12" t="n"/>
      <c r="I145" s="13">
        <f>IFERROR(INDEX(TICKETS_DATASET!$G$2:$G$301,MATCH($A145,TICKETS_DATASET!$A$2:$A$301,0)),"")</f>
        <v/>
      </c>
      <c r="J145" s="13">
        <f>IFERROR(INDEX(TICKETS_DATASET!$D$2:$D$301,MATCH($A145,TICKETS_DATASET!$A$2:$A$301,0)),"")</f>
        <v/>
      </c>
      <c r="K145" s="13">
        <f>IFERROR(INDEX(TICKETS_DATASET!$E$2:$E$301,MATCH($A145,TICKETS_DATASET!$A$2:$A$301,0)),"")</f>
        <v/>
      </c>
      <c r="L145" s="14">
        <f>IF($A145="","",IF($B145=$I145,1,0))</f>
        <v/>
      </c>
      <c r="M145" s="14">
        <f>IF($A145="","",IF(AND($C145=$J145,$D145=$K145),1,0))</f>
        <v/>
      </c>
      <c r="N145" s="14">
        <f>IF($A145="","",IFERROR(IF(INDEX(TICKETS_DATASET!$J$2:$J$301,MATCH($A145,TICKETS_DATASET!$A$2:$A$301,0))="ambigu",1,0),0))</f>
        <v/>
      </c>
      <c r="O145" s="14">
        <f>IF($A145="","",IF(OR($G145&lt;&gt;"",$L145=0,$M145=0),1,0))</f>
        <v/>
      </c>
    </row>
    <row r="146" ht="34" customHeight="1">
      <c r="A146" s="5" t="n"/>
      <c r="B146" s="5" t="n"/>
      <c r="C146" s="5" t="n"/>
      <c r="D146" s="5" t="n"/>
      <c r="E146" s="10" t="n"/>
      <c r="F146" s="11" t="n"/>
      <c r="G146" s="12" t="n"/>
      <c r="H146" s="12" t="n"/>
      <c r="I146" s="13">
        <f>IFERROR(INDEX(TICKETS_DATASET!$G$2:$G$301,MATCH($A146,TICKETS_DATASET!$A$2:$A$301,0)),"")</f>
        <v/>
      </c>
      <c r="J146" s="13">
        <f>IFERROR(INDEX(TICKETS_DATASET!$D$2:$D$301,MATCH($A146,TICKETS_DATASET!$A$2:$A$301,0)),"")</f>
        <v/>
      </c>
      <c r="K146" s="13">
        <f>IFERROR(INDEX(TICKETS_DATASET!$E$2:$E$301,MATCH($A146,TICKETS_DATASET!$A$2:$A$301,0)),"")</f>
        <v/>
      </c>
      <c r="L146" s="14">
        <f>IF($A146="","",IF($B146=$I146,1,0))</f>
        <v/>
      </c>
      <c r="M146" s="14">
        <f>IF($A146="","",IF(AND($C146=$J146,$D146=$K146),1,0))</f>
        <v/>
      </c>
      <c r="N146" s="14">
        <f>IF($A146="","",IFERROR(IF(INDEX(TICKETS_DATASET!$J$2:$J$301,MATCH($A146,TICKETS_DATASET!$A$2:$A$301,0))="ambigu",1,0),0))</f>
        <v/>
      </c>
      <c r="O146" s="14">
        <f>IF($A146="","",IF(OR($G146&lt;&gt;"",$L146=0,$M146=0),1,0))</f>
        <v/>
      </c>
    </row>
    <row r="147" ht="34" customHeight="1">
      <c r="A147" s="5" t="n"/>
      <c r="B147" s="5" t="n"/>
      <c r="C147" s="5" t="n"/>
      <c r="D147" s="5" t="n"/>
      <c r="E147" s="10" t="n"/>
      <c r="F147" s="11" t="n"/>
      <c r="G147" s="12" t="n"/>
      <c r="H147" s="12" t="n"/>
      <c r="I147" s="13">
        <f>IFERROR(INDEX(TICKETS_DATASET!$G$2:$G$301,MATCH($A147,TICKETS_DATASET!$A$2:$A$301,0)),"")</f>
        <v/>
      </c>
      <c r="J147" s="13">
        <f>IFERROR(INDEX(TICKETS_DATASET!$D$2:$D$301,MATCH($A147,TICKETS_DATASET!$A$2:$A$301,0)),"")</f>
        <v/>
      </c>
      <c r="K147" s="13">
        <f>IFERROR(INDEX(TICKETS_DATASET!$E$2:$E$301,MATCH($A147,TICKETS_DATASET!$A$2:$A$301,0)),"")</f>
        <v/>
      </c>
      <c r="L147" s="14">
        <f>IF($A147="","",IF($B147=$I147,1,0))</f>
        <v/>
      </c>
      <c r="M147" s="14">
        <f>IF($A147="","",IF(AND($C147=$J147,$D147=$K147),1,0))</f>
        <v/>
      </c>
      <c r="N147" s="14">
        <f>IF($A147="","",IFERROR(IF(INDEX(TICKETS_DATASET!$J$2:$J$301,MATCH($A147,TICKETS_DATASET!$A$2:$A$301,0))="ambigu",1,0),0))</f>
        <v/>
      </c>
      <c r="O147" s="14">
        <f>IF($A147="","",IF(OR($G147&lt;&gt;"",$L147=0,$M147=0),1,0))</f>
        <v/>
      </c>
    </row>
    <row r="148" ht="34" customHeight="1">
      <c r="A148" s="5" t="n"/>
      <c r="B148" s="5" t="n"/>
      <c r="C148" s="5" t="n"/>
      <c r="D148" s="5" t="n"/>
      <c r="E148" s="10" t="n"/>
      <c r="F148" s="11" t="n"/>
      <c r="G148" s="12" t="n"/>
      <c r="H148" s="12" t="n"/>
      <c r="I148" s="13">
        <f>IFERROR(INDEX(TICKETS_DATASET!$G$2:$G$301,MATCH($A148,TICKETS_DATASET!$A$2:$A$301,0)),"")</f>
        <v/>
      </c>
      <c r="J148" s="13">
        <f>IFERROR(INDEX(TICKETS_DATASET!$D$2:$D$301,MATCH($A148,TICKETS_DATASET!$A$2:$A$301,0)),"")</f>
        <v/>
      </c>
      <c r="K148" s="13">
        <f>IFERROR(INDEX(TICKETS_DATASET!$E$2:$E$301,MATCH($A148,TICKETS_DATASET!$A$2:$A$301,0)),"")</f>
        <v/>
      </c>
      <c r="L148" s="14">
        <f>IF($A148="","",IF($B148=$I148,1,0))</f>
        <v/>
      </c>
      <c r="M148" s="14">
        <f>IF($A148="","",IF(AND($C148=$J148,$D148=$K148),1,0))</f>
        <v/>
      </c>
      <c r="N148" s="14">
        <f>IF($A148="","",IFERROR(IF(INDEX(TICKETS_DATASET!$J$2:$J$301,MATCH($A148,TICKETS_DATASET!$A$2:$A$301,0))="ambigu",1,0),0))</f>
        <v/>
      </c>
      <c r="O148" s="14">
        <f>IF($A148="","",IF(OR($G148&lt;&gt;"",$L148=0,$M148=0),1,0))</f>
        <v/>
      </c>
    </row>
    <row r="149" ht="34" customHeight="1">
      <c r="A149" s="5" t="n"/>
      <c r="B149" s="5" t="n"/>
      <c r="C149" s="5" t="n"/>
      <c r="D149" s="5" t="n"/>
      <c r="E149" s="10" t="n"/>
      <c r="F149" s="11" t="n"/>
      <c r="G149" s="12" t="n"/>
      <c r="H149" s="12" t="n"/>
      <c r="I149" s="13">
        <f>IFERROR(INDEX(TICKETS_DATASET!$G$2:$G$301,MATCH($A149,TICKETS_DATASET!$A$2:$A$301,0)),"")</f>
        <v/>
      </c>
      <c r="J149" s="13">
        <f>IFERROR(INDEX(TICKETS_DATASET!$D$2:$D$301,MATCH($A149,TICKETS_DATASET!$A$2:$A$301,0)),"")</f>
        <v/>
      </c>
      <c r="K149" s="13">
        <f>IFERROR(INDEX(TICKETS_DATASET!$E$2:$E$301,MATCH($A149,TICKETS_DATASET!$A$2:$A$301,0)),"")</f>
        <v/>
      </c>
      <c r="L149" s="14">
        <f>IF($A149="","",IF($B149=$I149,1,0))</f>
        <v/>
      </c>
      <c r="M149" s="14">
        <f>IF($A149="","",IF(AND($C149=$J149,$D149=$K149),1,0))</f>
        <v/>
      </c>
      <c r="N149" s="14">
        <f>IF($A149="","",IFERROR(IF(INDEX(TICKETS_DATASET!$J$2:$J$301,MATCH($A149,TICKETS_DATASET!$A$2:$A$301,0))="ambigu",1,0),0))</f>
        <v/>
      </c>
      <c r="O149" s="14">
        <f>IF($A149="","",IF(OR($G149&lt;&gt;"",$L149=0,$M149=0),1,0))</f>
        <v/>
      </c>
    </row>
    <row r="150" ht="34" customHeight="1">
      <c r="A150" s="5" t="n"/>
      <c r="B150" s="5" t="n"/>
      <c r="C150" s="5" t="n"/>
      <c r="D150" s="5" t="n"/>
      <c r="E150" s="10" t="n"/>
      <c r="F150" s="11" t="n"/>
      <c r="G150" s="12" t="n"/>
      <c r="H150" s="12" t="n"/>
      <c r="I150" s="13">
        <f>IFERROR(INDEX(TICKETS_DATASET!$G$2:$G$301,MATCH($A150,TICKETS_DATASET!$A$2:$A$301,0)),"")</f>
        <v/>
      </c>
      <c r="J150" s="13">
        <f>IFERROR(INDEX(TICKETS_DATASET!$D$2:$D$301,MATCH($A150,TICKETS_DATASET!$A$2:$A$301,0)),"")</f>
        <v/>
      </c>
      <c r="K150" s="13">
        <f>IFERROR(INDEX(TICKETS_DATASET!$E$2:$E$301,MATCH($A150,TICKETS_DATASET!$A$2:$A$301,0)),"")</f>
        <v/>
      </c>
      <c r="L150" s="14">
        <f>IF($A150="","",IF($B150=$I150,1,0))</f>
        <v/>
      </c>
      <c r="M150" s="14">
        <f>IF($A150="","",IF(AND($C150=$J150,$D150=$K150),1,0))</f>
        <v/>
      </c>
      <c r="N150" s="14">
        <f>IF($A150="","",IFERROR(IF(INDEX(TICKETS_DATASET!$J$2:$J$301,MATCH($A150,TICKETS_DATASET!$A$2:$A$301,0))="ambigu",1,0),0))</f>
        <v/>
      </c>
      <c r="O150" s="14">
        <f>IF($A150="","",IF(OR($G150&lt;&gt;"",$L150=0,$M150=0),1,0))</f>
        <v/>
      </c>
    </row>
    <row r="151" ht="34" customHeight="1">
      <c r="A151" s="5" t="n"/>
      <c r="B151" s="5" t="n"/>
      <c r="C151" s="5" t="n"/>
      <c r="D151" s="5" t="n"/>
      <c r="E151" s="10" t="n"/>
      <c r="F151" s="11" t="n"/>
      <c r="G151" s="12" t="n"/>
      <c r="H151" s="12" t="n"/>
      <c r="I151" s="13">
        <f>IFERROR(INDEX(TICKETS_DATASET!$G$2:$G$301,MATCH($A151,TICKETS_DATASET!$A$2:$A$301,0)),"")</f>
        <v/>
      </c>
      <c r="J151" s="13">
        <f>IFERROR(INDEX(TICKETS_DATASET!$D$2:$D$301,MATCH($A151,TICKETS_DATASET!$A$2:$A$301,0)),"")</f>
        <v/>
      </c>
      <c r="K151" s="13">
        <f>IFERROR(INDEX(TICKETS_DATASET!$E$2:$E$301,MATCH($A151,TICKETS_DATASET!$A$2:$A$301,0)),"")</f>
        <v/>
      </c>
      <c r="L151" s="14">
        <f>IF($A151="","",IF($B151=$I151,1,0))</f>
        <v/>
      </c>
      <c r="M151" s="14">
        <f>IF($A151="","",IF(AND($C151=$J151,$D151=$K151),1,0))</f>
        <v/>
      </c>
      <c r="N151" s="14">
        <f>IF($A151="","",IFERROR(IF(INDEX(TICKETS_DATASET!$J$2:$J$301,MATCH($A151,TICKETS_DATASET!$A$2:$A$301,0))="ambigu",1,0),0))</f>
        <v/>
      </c>
      <c r="O151" s="14">
        <f>IF($A151="","",IF(OR($G151&lt;&gt;"",$L151=0,$M151=0),1,0))</f>
        <v/>
      </c>
    </row>
    <row r="152" ht="34" customHeight="1">
      <c r="A152" s="5" t="n"/>
      <c r="B152" s="5" t="n"/>
      <c r="C152" s="5" t="n"/>
      <c r="D152" s="5" t="n"/>
      <c r="E152" s="10" t="n"/>
      <c r="F152" s="11" t="n"/>
      <c r="G152" s="12" t="n"/>
      <c r="H152" s="12" t="n"/>
      <c r="I152" s="13">
        <f>IFERROR(INDEX(TICKETS_DATASET!$G$2:$G$301,MATCH($A152,TICKETS_DATASET!$A$2:$A$301,0)),"")</f>
        <v/>
      </c>
      <c r="J152" s="13">
        <f>IFERROR(INDEX(TICKETS_DATASET!$D$2:$D$301,MATCH($A152,TICKETS_DATASET!$A$2:$A$301,0)),"")</f>
        <v/>
      </c>
      <c r="K152" s="13">
        <f>IFERROR(INDEX(TICKETS_DATASET!$E$2:$E$301,MATCH($A152,TICKETS_DATASET!$A$2:$A$301,0)),"")</f>
        <v/>
      </c>
      <c r="L152" s="14">
        <f>IF($A152="","",IF($B152=$I152,1,0))</f>
        <v/>
      </c>
      <c r="M152" s="14">
        <f>IF($A152="","",IF(AND($C152=$J152,$D152=$K152),1,0))</f>
        <v/>
      </c>
      <c r="N152" s="14">
        <f>IF($A152="","",IFERROR(IF(INDEX(TICKETS_DATASET!$J$2:$J$301,MATCH($A152,TICKETS_DATASET!$A$2:$A$301,0))="ambigu",1,0),0))</f>
        <v/>
      </c>
      <c r="O152" s="14">
        <f>IF($A152="","",IF(OR($G152&lt;&gt;"",$L152=0,$M152=0),1,0))</f>
        <v/>
      </c>
    </row>
    <row r="153" ht="34" customHeight="1">
      <c r="A153" s="5" t="n"/>
      <c r="B153" s="5" t="n"/>
      <c r="C153" s="5" t="n"/>
      <c r="D153" s="5" t="n"/>
      <c r="E153" s="10" t="n"/>
      <c r="F153" s="11" t="n"/>
      <c r="G153" s="12" t="n"/>
      <c r="H153" s="12" t="n"/>
      <c r="I153" s="13">
        <f>IFERROR(INDEX(TICKETS_DATASET!$G$2:$G$301,MATCH($A153,TICKETS_DATASET!$A$2:$A$301,0)),"")</f>
        <v/>
      </c>
      <c r="J153" s="13">
        <f>IFERROR(INDEX(TICKETS_DATASET!$D$2:$D$301,MATCH($A153,TICKETS_DATASET!$A$2:$A$301,0)),"")</f>
        <v/>
      </c>
      <c r="K153" s="13">
        <f>IFERROR(INDEX(TICKETS_DATASET!$E$2:$E$301,MATCH($A153,TICKETS_DATASET!$A$2:$A$301,0)),"")</f>
        <v/>
      </c>
      <c r="L153" s="14">
        <f>IF($A153="","",IF($B153=$I153,1,0))</f>
        <v/>
      </c>
      <c r="M153" s="14">
        <f>IF($A153="","",IF(AND($C153=$J153,$D153=$K153),1,0))</f>
        <v/>
      </c>
      <c r="N153" s="14">
        <f>IF($A153="","",IFERROR(IF(INDEX(TICKETS_DATASET!$J$2:$J$301,MATCH($A153,TICKETS_DATASET!$A$2:$A$301,0))="ambigu",1,0),0))</f>
        <v/>
      </c>
      <c r="O153" s="14">
        <f>IF($A153="","",IF(OR($G153&lt;&gt;"",$L153=0,$M153=0),1,0))</f>
        <v/>
      </c>
    </row>
    <row r="154" ht="34" customHeight="1">
      <c r="A154" s="5" t="n"/>
      <c r="B154" s="5" t="n"/>
      <c r="C154" s="5" t="n"/>
      <c r="D154" s="5" t="n"/>
      <c r="E154" s="10" t="n"/>
      <c r="F154" s="11" t="n"/>
      <c r="G154" s="12" t="n"/>
      <c r="H154" s="12" t="n"/>
      <c r="I154" s="13">
        <f>IFERROR(INDEX(TICKETS_DATASET!$G$2:$G$301,MATCH($A154,TICKETS_DATASET!$A$2:$A$301,0)),"")</f>
        <v/>
      </c>
      <c r="J154" s="13">
        <f>IFERROR(INDEX(TICKETS_DATASET!$D$2:$D$301,MATCH($A154,TICKETS_DATASET!$A$2:$A$301,0)),"")</f>
        <v/>
      </c>
      <c r="K154" s="13">
        <f>IFERROR(INDEX(TICKETS_DATASET!$E$2:$E$301,MATCH($A154,TICKETS_DATASET!$A$2:$A$301,0)),"")</f>
        <v/>
      </c>
      <c r="L154" s="14">
        <f>IF($A154="","",IF($B154=$I154,1,0))</f>
        <v/>
      </c>
      <c r="M154" s="14">
        <f>IF($A154="","",IF(AND($C154=$J154,$D154=$K154),1,0))</f>
        <v/>
      </c>
      <c r="N154" s="14">
        <f>IF($A154="","",IFERROR(IF(INDEX(TICKETS_DATASET!$J$2:$J$301,MATCH($A154,TICKETS_DATASET!$A$2:$A$301,0))="ambigu",1,0),0))</f>
        <v/>
      </c>
      <c r="O154" s="14">
        <f>IF($A154="","",IF(OR($G154&lt;&gt;"",$L154=0,$M154=0),1,0))</f>
        <v/>
      </c>
    </row>
    <row r="155" ht="34" customHeight="1">
      <c r="A155" s="5" t="n"/>
      <c r="B155" s="5" t="n"/>
      <c r="C155" s="5" t="n"/>
      <c r="D155" s="5" t="n"/>
      <c r="E155" s="10" t="n"/>
      <c r="F155" s="11" t="n"/>
      <c r="G155" s="12" t="n"/>
      <c r="H155" s="12" t="n"/>
      <c r="I155" s="13">
        <f>IFERROR(INDEX(TICKETS_DATASET!$G$2:$G$301,MATCH($A155,TICKETS_DATASET!$A$2:$A$301,0)),"")</f>
        <v/>
      </c>
      <c r="J155" s="13">
        <f>IFERROR(INDEX(TICKETS_DATASET!$D$2:$D$301,MATCH($A155,TICKETS_DATASET!$A$2:$A$301,0)),"")</f>
        <v/>
      </c>
      <c r="K155" s="13">
        <f>IFERROR(INDEX(TICKETS_DATASET!$E$2:$E$301,MATCH($A155,TICKETS_DATASET!$A$2:$A$301,0)),"")</f>
        <v/>
      </c>
      <c r="L155" s="14">
        <f>IF($A155="","",IF($B155=$I155,1,0))</f>
        <v/>
      </c>
      <c r="M155" s="14">
        <f>IF($A155="","",IF(AND($C155=$J155,$D155=$K155),1,0))</f>
        <v/>
      </c>
      <c r="N155" s="14">
        <f>IF($A155="","",IFERROR(IF(INDEX(TICKETS_DATASET!$J$2:$J$301,MATCH($A155,TICKETS_DATASET!$A$2:$A$301,0))="ambigu",1,0),0))</f>
        <v/>
      </c>
      <c r="O155" s="14">
        <f>IF($A155="","",IF(OR($G155&lt;&gt;"",$L155=0,$M155=0),1,0))</f>
        <v/>
      </c>
    </row>
    <row r="156" ht="34" customHeight="1">
      <c r="A156" s="5" t="n"/>
      <c r="B156" s="5" t="n"/>
      <c r="C156" s="5" t="n"/>
      <c r="D156" s="5" t="n"/>
      <c r="E156" s="10" t="n"/>
      <c r="F156" s="11" t="n"/>
      <c r="G156" s="12" t="n"/>
      <c r="H156" s="12" t="n"/>
      <c r="I156" s="13">
        <f>IFERROR(INDEX(TICKETS_DATASET!$G$2:$G$301,MATCH($A156,TICKETS_DATASET!$A$2:$A$301,0)),"")</f>
        <v/>
      </c>
      <c r="J156" s="13">
        <f>IFERROR(INDEX(TICKETS_DATASET!$D$2:$D$301,MATCH($A156,TICKETS_DATASET!$A$2:$A$301,0)),"")</f>
        <v/>
      </c>
      <c r="K156" s="13">
        <f>IFERROR(INDEX(TICKETS_DATASET!$E$2:$E$301,MATCH($A156,TICKETS_DATASET!$A$2:$A$301,0)),"")</f>
        <v/>
      </c>
      <c r="L156" s="14">
        <f>IF($A156="","",IF($B156=$I156,1,0))</f>
        <v/>
      </c>
      <c r="M156" s="14">
        <f>IF($A156="","",IF(AND($C156=$J156,$D156=$K156),1,0))</f>
        <v/>
      </c>
      <c r="N156" s="14">
        <f>IF($A156="","",IFERROR(IF(INDEX(TICKETS_DATASET!$J$2:$J$301,MATCH($A156,TICKETS_DATASET!$A$2:$A$301,0))="ambigu",1,0),0))</f>
        <v/>
      </c>
      <c r="O156" s="14">
        <f>IF($A156="","",IF(OR($G156&lt;&gt;"",$L156=0,$M156=0),1,0))</f>
        <v/>
      </c>
    </row>
    <row r="157" ht="34" customHeight="1">
      <c r="A157" s="5" t="n"/>
      <c r="B157" s="5" t="n"/>
      <c r="C157" s="5" t="n"/>
      <c r="D157" s="5" t="n"/>
      <c r="E157" s="10" t="n"/>
      <c r="F157" s="11" t="n"/>
      <c r="G157" s="12" t="n"/>
      <c r="H157" s="12" t="n"/>
      <c r="I157" s="13">
        <f>IFERROR(INDEX(TICKETS_DATASET!$G$2:$G$301,MATCH($A157,TICKETS_DATASET!$A$2:$A$301,0)),"")</f>
        <v/>
      </c>
      <c r="J157" s="13">
        <f>IFERROR(INDEX(TICKETS_DATASET!$D$2:$D$301,MATCH($A157,TICKETS_DATASET!$A$2:$A$301,0)),"")</f>
        <v/>
      </c>
      <c r="K157" s="13">
        <f>IFERROR(INDEX(TICKETS_DATASET!$E$2:$E$301,MATCH($A157,TICKETS_DATASET!$A$2:$A$301,0)),"")</f>
        <v/>
      </c>
      <c r="L157" s="14">
        <f>IF($A157="","",IF($B157=$I157,1,0))</f>
        <v/>
      </c>
      <c r="M157" s="14">
        <f>IF($A157="","",IF(AND($C157=$J157,$D157=$K157),1,0))</f>
        <v/>
      </c>
      <c r="N157" s="14">
        <f>IF($A157="","",IFERROR(IF(INDEX(TICKETS_DATASET!$J$2:$J$301,MATCH($A157,TICKETS_DATASET!$A$2:$A$301,0))="ambigu",1,0),0))</f>
        <v/>
      </c>
      <c r="O157" s="14">
        <f>IF($A157="","",IF(OR($G157&lt;&gt;"",$L157=0,$M157=0),1,0))</f>
        <v/>
      </c>
    </row>
    <row r="158" ht="34" customHeight="1">
      <c r="A158" s="5" t="n"/>
      <c r="B158" s="5" t="n"/>
      <c r="C158" s="5" t="n"/>
      <c r="D158" s="5" t="n"/>
      <c r="E158" s="10" t="n"/>
      <c r="F158" s="11" t="n"/>
      <c r="G158" s="12" t="n"/>
      <c r="H158" s="12" t="n"/>
      <c r="I158" s="13">
        <f>IFERROR(INDEX(TICKETS_DATASET!$G$2:$G$301,MATCH($A158,TICKETS_DATASET!$A$2:$A$301,0)),"")</f>
        <v/>
      </c>
      <c r="J158" s="13">
        <f>IFERROR(INDEX(TICKETS_DATASET!$D$2:$D$301,MATCH($A158,TICKETS_DATASET!$A$2:$A$301,0)),"")</f>
        <v/>
      </c>
      <c r="K158" s="13">
        <f>IFERROR(INDEX(TICKETS_DATASET!$E$2:$E$301,MATCH($A158,TICKETS_DATASET!$A$2:$A$301,0)),"")</f>
        <v/>
      </c>
      <c r="L158" s="14">
        <f>IF($A158="","",IF($B158=$I158,1,0))</f>
        <v/>
      </c>
      <c r="M158" s="14">
        <f>IF($A158="","",IF(AND($C158=$J158,$D158=$K158),1,0))</f>
        <v/>
      </c>
      <c r="N158" s="14">
        <f>IF($A158="","",IFERROR(IF(INDEX(TICKETS_DATASET!$J$2:$J$301,MATCH($A158,TICKETS_DATASET!$A$2:$A$301,0))="ambigu",1,0),0))</f>
        <v/>
      </c>
      <c r="O158" s="14">
        <f>IF($A158="","",IF(OR($G158&lt;&gt;"",$L158=0,$M158=0),1,0))</f>
        <v/>
      </c>
    </row>
    <row r="159" ht="34" customHeight="1">
      <c r="A159" s="5" t="n"/>
      <c r="B159" s="5" t="n"/>
      <c r="C159" s="5" t="n"/>
      <c r="D159" s="5" t="n"/>
      <c r="E159" s="10" t="n"/>
      <c r="F159" s="11" t="n"/>
      <c r="G159" s="12" t="n"/>
      <c r="H159" s="12" t="n"/>
      <c r="I159" s="13">
        <f>IFERROR(INDEX(TICKETS_DATASET!$G$2:$G$301,MATCH($A159,TICKETS_DATASET!$A$2:$A$301,0)),"")</f>
        <v/>
      </c>
      <c r="J159" s="13">
        <f>IFERROR(INDEX(TICKETS_DATASET!$D$2:$D$301,MATCH($A159,TICKETS_DATASET!$A$2:$A$301,0)),"")</f>
        <v/>
      </c>
      <c r="K159" s="13">
        <f>IFERROR(INDEX(TICKETS_DATASET!$E$2:$E$301,MATCH($A159,TICKETS_DATASET!$A$2:$A$301,0)),"")</f>
        <v/>
      </c>
      <c r="L159" s="14">
        <f>IF($A159="","",IF($B159=$I159,1,0))</f>
        <v/>
      </c>
      <c r="M159" s="14">
        <f>IF($A159="","",IF(AND($C159=$J159,$D159=$K159),1,0))</f>
        <v/>
      </c>
      <c r="N159" s="14">
        <f>IF($A159="","",IFERROR(IF(INDEX(TICKETS_DATASET!$J$2:$J$301,MATCH($A159,TICKETS_DATASET!$A$2:$A$301,0))="ambigu",1,0),0))</f>
        <v/>
      </c>
      <c r="O159" s="14">
        <f>IF($A159="","",IF(OR($G159&lt;&gt;"",$L159=0,$M159=0),1,0))</f>
        <v/>
      </c>
    </row>
    <row r="160" ht="34" customHeight="1">
      <c r="A160" s="5" t="n"/>
      <c r="B160" s="5" t="n"/>
      <c r="C160" s="5" t="n"/>
      <c r="D160" s="5" t="n"/>
      <c r="E160" s="10" t="n"/>
      <c r="F160" s="11" t="n"/>
      <c r="G160" s="12" t="n"/>
      <c r="H160" s="12" t="n"/>
      <c r="I160" s="13">
        <f>IFERROR(INDEX(TICKETS_DATASET!$G$2:$G$301,MATCH($A160,TICKETS_DATASET!$A$2:$A$301,0)),"")</f>
        <v/>
      </c>
      <c r="J160" s="13">
        <f>IFERROR(INDEX(TICKETS_DATASET!$D$2:$D$301,MATCH($A160,TICKETS_DATASET!$A$2:$A$301,0)),"")</f>
        <v/>
      </c>
      <c r="K160" s="13">
        <f>IFERROR(INDEX(TICKETS_DATASET!$E$2:$E$301,MATCH($A160,TICKETS_DATASET!$A$2:$A$301,0)),"")</f>
        <v/>
      </c>
      <c r="L160" s="14">
        <f>IF($A160="","",IF($B160=$I160,1,0))</f>
        <v/>
      </c>
      <c r="M160" s="14">
        <f>IF($A160="","",IF(AND($C160=$J160,$D160=$K160),1,0))</f>
        <v/>
      </c>
      <c r="N160" s="14">
        <f>IF($A160="","",IFERROR(IF(INDEX(TICKETS_DATASET!$J$2:$J$301,MATCH($A160,TICKETS_DATASET!$A$2:$A$301,0))="ambigu",1,0),0))</f>
        <v/>
      </c>
      <c r="O160" s="14">
        <f>IF($A160="","",IF(OR($G160&lt;&gt;"",$L160=0,$M160=0),1,0))</f>
        <v/>
      </c>
    </row>
    <row r="161" ht="34" customHeight="1">
      <c r="A161" s="5" t="n"/>
      <c r="B161" s="5" t="n"/>
      <c r="C161" s="5" t="n"/>
      <c r="D161" s="5" t="n"/>
      <c r="E161" s="10" t="n"/>
      <c r="F161" s="11" t="n"/>
      <c r="G161" s="12" t="n"/>
      <c r="H161" s="12" t="n"/>
      <c r="I161" s="13">
        <f>IFERROR(INDEX(TICKETS_DATASET!$G$2:$G$301,MATCH($A161,TICKETS_DATASET!$A$2:$A$301,0)),"")</f>
        <v/>
      </c>
      <c r="J161" s="13">
        <f>IFERROR(INDEX(TICKETS_DATASET!$D$2:$D$301,MATCH($A161,TICKETS_DATASET!$A$2:$A$301,0)),"")</f>
        <v/>
      </c>
      <c r="K161" s="13">
        <f>IFERROR(INDEX(TICKETS_DATASET!$E$2:$E$301,MATCH($A161,TICKETS_DATASET!$A$2:$A$301,0)),"")</f>
        <v/>
      </c>
      <c r="L161" s="14">
        <f>IF($A161="","",IF($B161=$I161,1,0))</f>
        <v/>
      </c>
      <c r="M161" s="14">
        <f>IF($A161="","",IF(AND($C161=$J161,$D161=$K161),1,0))</f>
        <v/>
      </c>
      <c r="N161" s="14">
        <f>IF($A161="","",IFERROR(IF(INDEX(TICKETS_DATASET!$J$2:$J$301,MATCH($A161,TICKETS_DATASET!$A$2:$A$301,0))="ambigu",1,0),0))</f>
        <v/>
      </c>
      <c r="O161" s="14">
        <f>IF($A161="","",IF(OR($G161&lt;&gt;"",$L161=0,$M161=0),1,0))</f>
        <v/>
      </c>
    </row>
    <row r="162" ht="34" customHeight="1">
      <c r="A162" s="5" t="n"/>
      <c r="B162" s="5" t="n"/>
      <c r="C162" s="5" t="n"/>
      <c r="D162" s="5" t="n"/>
      <c r="E162" s="10" t="n"/>
      <c r="F162" s="11" t="n"/>
      <c r="G162" s="12" t="n"/>
      <c r="H162" s="12" t="n"/>
      <c r="I162" s="13">
        <f>IFERROR(INDEX(TICKETS_DATASET!$G$2:$G$301,MATCH($A162,TICKETS_DATASET!$A$2:$A$301,0)),"")</f>
        <v/>
      </c>
      <c r="J162" s="13">
        <f>IFERROR(INDEX(TICKETS_DATASET!$D$2:$D$301,MATCH($A162,TICKETS_DATASET!$A$2:$A$301,0)),"")</f>
        <v/>
      </c>
      <c r="K162" s="13">
        <f>IFERROR(INDEX(TICKETS_DATASET!$E$2:$E$301,MATCH($A162,TICKETS_DATASET!$A$2:$A$301,0)),"")</f>
        <v/>
      </c>
      <c r="L162" s="14">
        <f>IF($A162="","",IF($B162=$I162,1,0))</f>
        <v/>
      </c>
      <c r="M162" s="14">
        <f>IF($A162="","",IF(AND($C162=$J162,$D162=$K162),1,0))</f>
        <v/>
      </c>
      <c r="N162" s="14">
        <f>IF($A162="","",IFERROR(IF(INDEX(TICKETS_DATASET!$J$2:$J$301,MATCH($A162,TICKETS_DATASET!$A$2:$A$301,0))="ambigu",1,0),0))</f>
        <v/>
      </c>
      <c r="O162" s="14">
        <f>IF($A162="","",IF(OR($G162&lt;&gt;"",$L162=0,$M162=0),1,0))</f>
        <v/>
      </c>
    </row>
    <row r="163" ht="34" customHeight="1">
      <c r="A163" s="5" t="n"/>
      <c r="B163" s="5" t="n"/>
      <c r="C163" s="5" t="n"/>
      <c r="D163" s="5" t="n"/>
      <c r="E163" s="10" t="n"/>
      <c r="F163" s="11" t="n"/>
      <c r="G163" s="12" t="n"/>
      <c r="H163" s="12" t="n"/>
      <c r="I163" s="13">
        <f>IFERROR(INDEX(TICKETS_DATASET!$G$2:$G$301,MATCH($A163,TICKETS_DATASET!$A$2:$A$301,0)),"")</f>
        <v/>
      </c>
      <c r="J163" s="13">
        <f>IFERROR(INDEX(TICKETS_DATASET!$D$2:$D$301,MATCH($A163,TICKETS_DATASET!$A$2:$A$301,0)),"")</f>
        <v/>
      </c>
      <c r="K163" s="13">
        <f>IFERROR(INDEX(TICKETS_DATASET!$E$2:$E$301,MATCH($A163,TICKETS_DATASET!$A$2:$A$301,0)),"")</f>
        <v/>
      </c>
      <c r="L163" s="14">
        <f>IF($A163="","",IF($B163=$I163,1,0))</f>
        <v/>
      </c>
      <c r="M163" s="14">
        <f>IF($A163="","",IF(AND($C163=$J163,$D163=$K163),1,0))</f>
        <v/>
      </c>
      <c r="N163" s="14">
        <f>IF($A163="","",IFERROR(IF(INDEX(TICKETS_DATASET!$J$2:$J$301,MATCH($A163,TICKETS_DATASET!$A$2:$A$301,0))="ambigu",1,0),0))</f>
        <v/>
      </c>
      <c r="O163" s="14">
        <f>IF($A163="","",IF(OR($G163&lt;&gt;"",$L163=0,$M163=0),1,0))</f>
        <v/>
      </c>
    </row>
    <row r="164" ht="34" customHeight="1">
      <c r="A164" s="5" t="n"/>
      <c r="B164" s="5" t="n"/>
      <c r="C164" s="5" t="n"/>
      <c r="D164" s="5" t="n"/>
      <c r="E164" s="10" t="n"/>
      <c r="F164" s="11" t="n"/>
      <c r="G164" s="12" t="n"/>
      <c r="H164" s="12" t="n"/>
      <c r="I164" s="13">
        <f>IFERROR(INDEX(TICKETS_DATASET!$G$2:$G$301,MATCH($A164,TICKETS_DATASET!$A$2:$A$301,0)),"")</f>
        <v/>
      </c>
      <c r="J164" s="13">
        <f>IFERROR(INDEX(TICKETS_DATASET!$D$2:$D$301,MATCH($A164,TICKETS_DATASET!$A$2:$A$301,0)),"")</f>
        <v/>
      </c>
      <c r="K164" s="13">
        <f>IFERROR(INDEX(TICKETS_DATASET!$E$2:$E$301,MATCH($A164,TICKETS_DATASET!$A$2:$A$301,0)),"")</f>
        <v/>
      </c>
      <c r="L164" s="14">
        <f>IF($A164="","",IF($B164=$I164,1,0))</f>
        <v/>
      </c>
      <c r="M164" s="14">
        <f>IF($A164="","",IF(AND($C164=$J164,$D164=$K164),1,0))</f>
        <v/>
      </c>
      <c r="N164" s="14">
        <f>IF($A164="","",IFERROR(IF(INDEX(TICKETS_DATASET!$J$2:$J$301,MATCH($A164,TICKETS_DATASET!$A$2:$A$301,0))="ambigu",1,0),0))</f>
        <v/>
      </c>
      <c r="O164" s="14">
        <f>IF($A164="","",IF(OR($G164&lt;&gt;"",$L164=0,$M164=0),1,0))</f>
        <v/>
      </c>
    </row>
    <row r="165" ht="34" customHeight="1">
      <c r="A165" s="5" t="n"/>
      <c r="B165" s="5" t="n"/>
      <c r="C165" s="5" t="n"/>
      <c r="D165" s="5" t="n"/>
      <c r="E165" s="10" t="n"/>
      <c r="F165" s="11" t="n"/>
      <c r="G165" s="12" t="n"/>
      <c r="H165" s="12" t="n"/>
      <c r="I165" s="13">
        <f>IFERROR(INDEX(TICKETS_DATASET!$G$2:$G$301,MATCH($A165,TICKETS_DATASET!$A$2:$A$301,0)),"")</f>
        <v/>
      </c>
      <c r="J165" s="13">
        <f>IFERROR(INDEX(TICKETS_DATASET!$D$2:$D$301,MATCH($A165,TICKETS_DATASET!$A$2:$A$301,0)),"")</f>
        <v/>
      </c>
      <c r="K165" s="13">
        <f>IFERROR(INDEX(TICKETS_DATASET!$E$2:$E$301,MATCH($A165,TICKETS_DATASET!$A$2:$A$301,0)),"")</f>
        <v/>
      </c>
      <c r="L165" s="14">
        <f>IF($A165="","",IF($B165=$I165,1,0))</f>
        <v/>
      </c>
      <c r="M165" s="14">
        <f>IF($A165="","",IF(AND($C165=$J165,$D165=$K165),1,0))</f>
        <v/>
      </c>
      <c r="N165" s="14">
        <f>IF($A165="","",IFERROR(IF(INDEX(TICKETS_DATASET!$J$2:$J$301,MATCH($A165,TICKETS_DATASET!$A$2:$A$301,0))="ambigu",1,0),0))</f>
        <v/>
      </c>
      <c r="O165" s="14">
        <f>IF($A165="","",IF(OR($G165&lt;&gt;"",$L165=0,$M165=0),1,0))</f>
        <v/>
      </c>
    </row>
    <row r="166" ht="34" customHeight="1">
      <c r="A166" s="5" t="n"/>
      <c r="B166" s="5" t="n"/>
      <c r="C166" s="5" t="n"/>
      <c r="D166" s="5" t="n"/>
      <c r="E166" s="10" t="n"/>
      <c r="F166" s="11" t="n"/>
      <c r="G166" s="12" t="n"/>
      <c r="H166" s="12" t="n"/>
      <c r="I166" s="13">
        <f>IFERROR(INDEX(TICKETS_DATASET!$G$2:$G$301,MATCH($A166,TICKETS_DATASET!$A$2:$A$301,0)),"")</f>
        <v/>
      </c>
      <c r="J166" s="13">
        <f>IFERROR(INDEX(TICKETS_DATASET!$D$2:$D$301,MATCH($A166,TICKETS_DATASET!$A$2:$A$301,0)),"")</f>
        <v/>
      </c>
      <c r="K166" s="13">
        <f>IFERROR(INDEX(TICKETS_DATASET!$E$2:$E$301,MATCH($A166,TICKETS_DATASET!$A$2:$A$301,0)),"")</f>
        <v/>
      </c>
      <c r="L166" s="14">
        <f>IF($A166="","",IF($B166=$I166,1,0))</f>
        <v/>
      </c>
      <c r="M166" s="14">
        <f>IF($A166="","",IF(AND($C166=$J166,$D166=$K166),1,0))</f>
        <v/>
      </c>
      <c r="N166" s="14">
        <f>IF($A166="","",IFERROR(IF(INDEX(TICKETS_DATASET!$J$2:$J$301,MATCH($A166,TICKETS_DATASET!$A$2:$A$301,0))="ambigu",1,0),0))</f>
        <v/>
      </c>
      <c r="O166" s="14">
        <f>IF($A166="","",IF(OR($G166&lt;&gt;"",$L166=0,$M166=0),1,0))</f>
        <v/>
      </c>
    </row>
    <row r="167" ht="34" customHeight="1">
      <c r="A167" s="5" t="n"/>
      <c r="B167" s="5" t="n"/>
      <c r="C167" s="5" t="n"/>
      <c r="D167" s="5" t="n"/>
      <c r="E167" s="10" t="n"/>
      <c r="F167" s="11" t="n"/>
      <c r="G167" s="12" t="n"/>
      <c r="H167" s="12" t="n"/>
      <c r="I167" s="13">
        <f>IFERROR(INDEX(TICKETS_DATASET!$G$2:$G$301,MATCH($A167,TICKETS_DATASET!$A$2:$A$301,0)),"")</f>
        <v/>
      </c>
      <c r="J167" s="13">
        <f>IFERROR(INDEX(TICKETS_DATASET!$D$2:$D$301,MATCH($A167,TICKETS_DATASET!$A$2:$A$301,0)),"")</f>
        <v/>
      </c>
      <c r="K167" s="13">
        <f>IFERROR(INDEX(TICKETS_DATASET!$E$2:$E$301,MATCH($A167,TICKETS_DATASET!$A$2:$A$301,0)),"")</f>
        <v/>
      </c>
      <c r="L167" s="14">
        <f>IF($A167="","",IF($B167=$I167,1,0))</f>
        <v/>
      </c>
      <c r="M167" s="14">
        <f>IF($A167="","",IF(AND($C167=$J167,$D167=$K167),1,0))</f>
        <v/>
      </c>
      <c r="N167" s="14">
        <f>IF($A167="","",IFERROR(IF(INDEX(TICKETS_DATASET!$J$2:$J$301,MATCH($A167,TICKETS_DATASET!$A$2:$A$301,0))="ambigu",1,0),0))</f>
        <v/>
      </c>
      <c r="O167" s="14">
        <f>IF($A167="","",IF(OR($G167&lt;&gt;"",$L167=0,$M167=0),1,0))</f>
        <v/>
      </c>
    </row>
    <row r="168" ht="34" customHeight="1">
      <c r="A168" s="5" t="n"/>
      <c r="B168" s="5" t="n"/>
      <c r="C168" s="5" t="n"/>
      <c r="D168" s="5" t="n"/>
      <c r="E168" s="10" t="n"/>
      <c r="F168" s="11" t="n"/>
      <c r="G168" s="12" t="n"/>
      <c r="H168" s="12" t="n"/>
      <c r="I168" s="13">
        <f>IFERROR(INDEX(TICKETS_DATASET!$G$2:$G$301,MATCH($A168,TICKETS_DATASET!$A$2:$A$301,0)),"")</f>
        <v/>
      </c>
      <c r="J168" s="13">
        <f>IFERROR(INDEX(TICKETS_DATASET!$D$2:$D$301,MATCH($A168,TICKETS_DATASET!$A$2:$A$301,0)),"")</f>
        <v/>
      </c>
      <c r="K168" s="13">
        <f>IFERROR(INDEX(TICKETS_DATASET!$E$2:$E$301,MATCH($A168,TICKETS_DATASET!$A$2:$A$301,0)),"")</f>
        <v/>
      </c>
      <c r="L168" s="14">
        <f>IF($A168="","",IF($B168=$I168,1,0))</f>
        <v/>
      </c>
      <c r="M168" s="14">
        <f>IF($A168="","",IF(AND($C168=$J168,$D168=$K168),1,0))</f>
        <v/>
      </c>
      <c r="N168" s="14">
        <f>IF($A168="","",IFERROR(IF(INDEX(TICKETS_DATASET!$J$2:$J$301,MATCH($A168,TICKETS_DATASET!$A$2:$A$301,0))="ambigu",1,0),0))</f>
        <v/>
      </c>
      <c r="O168" s="14">
        <f>IF($A168="","",IF(OR($G168&lt;&gt;"",$L168=0,$M168=0),1,0))</f>
        <v/>
      </c>
    </row>
    <row r="169" ht="34" customHeight="1">
      <c r="A169" s="5" t="n"/>
      <c r="B169" s="5" t="n"/>
      <c r="C169" s="5" t="n"/>
      <c r="D169" s="5" t="n"/>
      <c r="E169" s="10" t="n"/>
      <c r="F169" s="11" t="n"/>
      <c r="G169" s="12" t="n"/>
      <c r="H169" s="12" t="n"/>
      <c r="I169" s="13">
        <f>IFERROR(INDEX(TICKETS_DATASET!$G$2:$G$301,MATCH($A169,TICKETS_DATASET!$A$2:$A$301,0)),"")</f>
        <v/>
      </c>
      <c r="J169" s="13">
        <f>IFERROR(INDEX(TICKETS_DATASET!$D$2:$D$301,MATCH($A169,TICKETS_DATASET!$A$2:$A$301,0)),"")</f>
        <v/>
      </c>
      <c r="K169" s="13">
        <f>IFERROR(INDEX(TICKETS_DATASET!$E$2:$E$301,MATCH($A169,TICKETS_DATASET!$A$2:$A$301,0)),"")</f>
        <v/>
      </c>
      <c r="L169" s="14">
        <f>IF($A169="","",IF($B169=$I169,1,0))</f>
        <v/>
      </c>
      <c r="M169" s="14">
        <f>IF($A169="","",IF(AND($C169=$J169,$D169=$K169),1,0))</f>
        <v/>
      </c>
      <c r="N169" s="14">
        <f>IF($A169="","",IFERROR(IF(INDEX(TICKETS_DATASET!$J$2:$J$301,MATCH($A169,TICKETS_DATASET!$A$2:$A$301,0))="ambigu",1,0),0))</f>
        <v/>
      </c>
      <c r="O169" s="14">
        <f>IF($A169="","",IF(OR($G169&lt;&gt;"",$L169=0,$M169=0),1,0))</f>
        <v/>
      </c>
    </row>
    <row r="170" ht="34" customHeight="1">
      <c r="A170" s="5" t="n"/>
      <c r="B170" s="5" t="n"/>
      <c r="C170" s="5" t="n"/>
      <c r="D170" s="5" t="n"/>
      <c r="E170" s="10" t="n"/>
      <c r="F170" s="11" t="n"/>
      <c r="G170" s="12" t="n"/>
      <c r="H170" s="12" t="n"/>
      <c r="I170" s="13">
        <f>IFERROR(INDEX(TICKETS_DATASET!$G$2:$G$301,MATCH($A170,TICKETS_DATASET!$A$2:$A$301,0)),"")</f>
        <v/>
      </c>
      <c r="J170" s="13">
        <f>IFERROR(INDEX(TICKETS_DATASET!$D$2:$D$301,MATCH($A170,TICKETS_DATASET!$A$2:$A$301,0)),"")</f>
        <v/>
      </c>
      <c r="K170" s="13">
        <f>IFERROR(INDEX(TICKETS_DATASET!$E$2:$E$301,MATCH($A170,TICKETS_DATASET!$A$2:$A$301,0)),"")</f>
        <v/>
      </c>
      <c r="L170" s="14">
        <f>IF($A170="","",IF($B170=$I170,1,0))</f>
        <v/>
      </c>
      <c r="M170" s="14">
        <f>IF($A170="","",IF(AND($C170=$J170,$D170=$K170),1,0))</f>
        <v/>
      </c>
      <c r="N170" s="14">
        <f>IF($A170="","",IFERROR(IF(INDEX(TICKETS_DATASET!$J$2:$J$301,MATCH($A170,TICKETS_DATASET!$A$2:$A$301,0))="ambigu",1,0),0))</f>
        <v/>
      </c>
      <c r="O170" s="14">
        <f>IF($A170="","",IF(OR($G170&lt;&gt;"",$L170=0,$M170=0),1,0))</f>
        <v/>
      </c>
    </row>
    <row r="171" ht="34" customHeight="1">
      <c r="A171" s="5" t="n"/>
      <c r="B171" s="5" t="n"/>
      <c r="C171" s="5" t="n"/>
      <c r="D171" s="5" t="n"/>
      <c r="E171" s="10" t="n"/>
      <c r="F171" s="11" t="n"/>
      <c r="G171" s="12" t="n"/>
      <c r="H171" s="12" t="n"/>
      <c r="I171" s="13">
        <f>IFERROR(INDEX(TICKETS_DATASET!$G$2:$G$301,MATCH($A171,TICKETS_DATASET!$A$2:$A$301,0)),"")</f>
        <v/>
      </c>
      <c r="J171" s="13">
        <f>IFERROR(INDEX(TICKETS_DATASET!$D$2:$D$301,MATCH($A171,TICKETS_DATASET!$A$2:$A$301,0)),"")</f>
        <v/>
      </c>
      <c r="K171" s="13">
        <f>IFERROR(INDEX(TICKETS_DATASET!$E$2:$E$301,MATCH($A171,TICKETS_DATASET!$A$2:$A$301,0)),"")</f>
        <v/>
      </c>
      <c r="L171" s="14">
        <f>IF($A171="","",IF($B171=$I171,1,0))</f>
        <v/>
      </c>
      <c r="M171" s="14">
        <f>IF($A171="","",IF(AND($C171=$J171,$D171=$K171),1,0))</f>
        <v/>
      </c>
      <c r="N171" s="14">
        <f>IF($A171="","",IFERROR(IF(INDEX(TICKETS_DATASET!$J$2:$J$301,MATCH($A171,TICKETS_DATASET!$A$2:$A$301,0))="ambigu",1,0),0))</f>
        <v/>
      </c>
      <c r="O171" s="14">
        <f>IF($A171="","",IF(OR($G171&lt;&gt;"",$L171=0,$M171=0),1,0))</f>
        <v/>
      </c>
    </row>
    <row r="172" ht="34" customHeight="1">
      <c r="A172" s="5" t="n"/>
      <c r="B172" s="5" t="n"/>
      <c r="C172" s="5" t="n"/>
      <c r="D172" s="5" t="n"/>
      <c r="E172" s="10" t="n"/>
      <c r="F172" s="11" t="n"/>
      <c r="G172" s="12" t="n"/>
      <c r="H172" s="12" t="n"/>
      <c r="I172" s="13">
        <f>IFERROR(INDEX(TICKETS_DATASET!$G$2:$G$301,MATCH($A172,TICKETS_DATASET!$A$2:$A$301,0)),"")</f>
        <v/>
      </c>
      <c r="J172" s="13">
        <f>IFERROR(INDEX(TICKETS_DATASET!$D$2:$D$301,MATCH($A172,TICKETS_DATASET!$A$2:$A$301,0)),"")</f>
        <v/>
      </c>
      <c r="K172" s="13">
        <f>IFERROR(INDEX(TICKETS_DATASET!$E$2:$E$301,MATCH($A172,TICKETS_DATASET!$A$2:$A$301,0)),"")</f>
        <v/>
      </c>
      <c r="L172" s="14">
        <f>IF($A172="","",IF($B172=$I172,1,0))</f>
        <v/>
      </c>
      <c r="M172" s="14">
        <f>IF($A172="","",IF(AND($C172=$J172,$D172=$K172),1,0))</f>
        <v/>
      </c>
      <c r="N172" s="14">
        <f>IF($A172="","",IFERROR(IF(INDEX(TICKETS_DATASET!$J$2:$J$301,MATCH($A172,TICKETS_DATASET!$A$2:$A$301,0))="ambigu",1,0),0))</f>
        <v/>
      </c>
      <c r="O172" s="14">
        <f>IF($A172="","",IF(OR($G172&lt;&gt;"",$L172=0,$M172=0),1,0))</f>
        <v/>
      </c>
    </row>
    <row r="173" ht="34" customHeight="1">
      <c r="A173" s="5" t="n"/>
      <c r="B173" s="5" t="n"/>
      <c r="C173" s="5" t="n"/>
      <c r="D173" s="5" t="n"/>
      <c r="E173" s="10" t="n"/>
      <c r="F173" s="11" t="n"/>
      <c r="G173" s="12" t="n"/>
      <c r="H173" s="12" t="n"/>
      <c r="I173" s="13">
        <f>IFERROR(INDEX(TICKETS_DATASET!$G$2:$G$301,MATCH($A173,TICKETS_DATASET!$A$2:$A$301,0)),"")</f>
        <v/>
      </c>
      <c r="J173" s="13">
        <f>IFERROR(INDEX(TICKETS_DATASET!$D$2:$D$301,MATCH($A173,TICKETS_DATASET!$A$2:$A$301,0)),"")</f>
        <v/>
      </c>
      <c r="K173" s="13">
        <f>IFERROR(INDEX(TICKETS_DATASET!$E$2:$E$301,MATCH($A173,TICKETS_DATASET!$A$2:$A$301,0)),"")</f>
        <v/>
      </c>
      <c r="L173" s="14">
        <f>IF($A173="","",IF($B173=$I173,1,0))</f>
        <v/>
      </c>
      <c r="M173" s="14">
        <f>IF($A173="","",IF(AND($C173=$J173,$D173=$K173),1,0))</f>
        <v/>
      </c>
      <c r="N173" s="14">
        <f>IF($A173="","",IFERROR(IF(INDEX(TICKETS_DATASET!$J$2:$J$301,MATCH($A173,TICKETS_DATASET!$A$2:$A$301,0))="ambigu",1,0),0))</f>
        <v/>
      </c>
      <c r="O173" s="14">
        <f>IF($A173="","",IF(OR($G173&lt;&gt;"",$L173=0,$M173=0),1,0))</f>
        <v/>
      </c>
    </row>
    <row r="174" ht="34" customHeight="1">
      <c r="A174" s="5" t="n"/>
      <c r="B174" s="5" t="n"/>
      <c r="C174" s="5" t="n"/>
      <c r="D174" s="5" t="n"/>
      <c r="E174" s="10" t="n"/>
      <c r="F174" s="11" t="n"/>
      <c r="G174" s="12" t="n"/>
      <c r="H174" s="12" t="n"/>
      <c r="I174" s="13">
        <f>IFERROR(INDEX(TICKETS_DATASET!$G$2:$G$301,MATCH($A174,TICKETS_DATASET!$A$2:$A$301,0)),"")</f>
        <v/>
      </c>
      <c r="J174" s="13">
        <f>IFERROR(INDEX(TICKETS_DATASET!$D$2:$D$301,MATCH($A174,TICKETS_DATASET!$A$2:$A$301,0)),"")</f>
        <v/>
      </c>
      <c r="K174" s="13">
        <f>IFERROR(INDEX(TICKETS_DATASET!$E$2:$E$301,MATCH($A174,TICKETS_DATASET!$A$2:$A$301,0)),"")</f>
        <v/>
      </c>
      <c r="L174" s="14">
        <f>IF($A174="","",IF($B174=$I174,1,0))</f>
        <v/>
      </c>
      <c r="M174" s="14">
        <f>IF($A174="","",IF(AND($C174=$J174,$D174=$K174),1,0))</f>
        <v/>
      </c>
      <c r="N174" s="14">
        <f>IF($A174="","",IFERROR(IF(INDEX(TICKETS_DATASET!$J$2:$J$301,MATCH($A174,TICKETS_DATASET!$A$2:$A$301,0))="ambigu",1,0),0))</f>
        <v/>
      </c>
      <c r="O174" s="14">
        <f>IF($A174="","",IF(OR($G174&lt;&gt;"",$L174=0,$M174=0),1,0))</f>
        <v/>
      </c>
    </row>
    <row r="175" ht="34" customHeight="1">
      <c r="A175" s="5" t="n"/>
      <c r="B175" s="5" t="n"/>
      <c r="C175" s="5" t="n"/>
      <c r="D175" s="5" t="n"/>
      <c r="E175" s="10" t="n"/>
      <c r="F175" s="11" t="n"/>
      <c r="G175" s="12" t="n"/>
      <c r="H175" s="12" t="n"/>
      <c r="I175" s="13">
        <f>IFERROR(INDEX(TICKETS_DATASET!$G$2:$G$301,MATCH($A175,TICKETS_DATASET!$A$2:$A$301,0)),"")</f>
        <v/>
      </c>
      <c r="J175" s="13">
        <f>IFERROR(INDEX(TICKETS_DATASET!$D$2:$D$301,MATCH($A175,TICKETS_DATASET!$A$2:$A$301,0)),"")</f>
        <v/>
      </c>
      <c r="K175" s="13">
        <f>IFERROR(INDEX(TICKETS_DATASET!$E$2:$E$301,MATCH($A175,TICKETS_DATASET!$A$2:$A$301,0)),"")</f>
        <v/>
      </c>
      <c r="L175" s="14">
        <f>IF($A175="","",IF($B175=$I175,1,0))</f>
        <v/>
      </c>
      <c r="M175" s="14">
        <f>IF($A175="","",IF(AND($C175=$J175,$D175=$K175),1,0))</f>
        <v/>
      </c>
      <c r="N175" s="14">
        <f>IF($A175="","",IFERROR(IF(INDEX(TICKETS_DATASET!$J$2:$J$301,MATCH($A175,TICKETS_DATASET!$A$2:$A$301,0))="ambigu",1,0),0))</f>
        <v/>
      </c>
      <c r="O175" s="14">
        <f>IF($A175="","",IF(OR($G175&lt;&gt;"",$L175=0,$M175=0),1,0))</f>
        <v/>
      </c>
    </row>
    <row r="176" ht="34" customHeight="1">
      <c r="A176" s="5" t="n"/>
      <c r="B176" s="5" t="n"/>
      <c r="C176" s="5" t="n"/>
      <c r="D176" s="5" t="n"/>
      <c r="E176" s="10" t="n"/>
      <c r="F176" s="11" t="n"/>
      <c r="G176" s="12" t="n"/>
      <c r="H176" s="12" t="n"/>
      <c r="I176" s="13">
        <f>IFERROR(INDEX(TICKETS_DATASET!$G$2:$G$301,MATCH($A176,TICKETS_DATASET!$A$2:$A$301,0)),"")</f>
        <v/>
      </c>
      <c r="J176" s="13">
        <f>IFERROR(INDEX(TICKETS_DATASET!$D$2:$D$301,MATCH($A176,TICKETS_DATASET!$A$2:$A$301,0)),"")</f>
        <v/>
      </c>
      <c r="K176" s="13">
        <f>IFERROR(INDEX(TICKETS_DATASET!$E$2:$E$301,MATCH($A176,TICKETS_DATASET!$A$2:$A$301,0)),"")</f>
        <v/>
      </c>
      <c r="L176" s="14">
        <f>IF($A176="","",IF($B176=$I176,1,0))</f>
        <v/>
      </c>
      <c r="M176" s="14">
        <f>IF($A176="","",IF(AND($C176=$J176,$D176=$K176),1,0))</f>
        <v/>
      </c>
      <c r="N176" s="14">
        <f>IF($A176="","",IFERROR(IF(INDEX(TICKETS_DATASET!$J$2:$J$301,MATCH($A176,TICKETS_DATASET!$A$2:$A$301,0))="ambigu",1,0),0))</f>
        <v/>
      </c>
      <c r="O176" s="14">
        <f>IF($A176="","",IF(OR($G176&lt;&gt;"",$L176=0,$M176=0),1,0))</f>
        <v/>
      </c>
    </row>
    <row r="177" ht="34" customHeight="1">
      <c r="A177" s="5" t="n"/>
      <c r="B177" s="5" t="n"/>
      <c r="C177" s="5" t="n"/>
      <c r="D177" s="5" t="n"/>
      <c r="E177" s="10" t="n"/>
      <c r="F177" s="11" t="n"/>
      <c r="G177" s="12" t="n"/>
      <c r="H177" s="12" t="n"/>
      <c r="I177" s="13">
        <f>IFERROR(INDEX(TICKETS_DATASET!$G$2:$G$301,MATCH($A177,TICKETS_DATASET!$A$2:$A$301,0)),"")</f>
        <v/>
      </c>
      <c r="J177" s="13">
        <f>IFERROR(INDEX(TICKETS_DATASET!$D$2:$D$301,MATCH($A177,TICKETS_DATASET!$A$2:$A$301,0)),"")</f>
        <v/>
      </c>
      <c r="K177" s="13">
        <f>IFERROR(INDEX(TICKETS_DATASET!$E$2:$E$301,MATCH($A177,TICKETS_DATASET!$A$2:$A$301,0)),"")</f>
        <v/>
      </c>
      <c r="L177" s="14">
        <f>IF($A177="","",IF($B177=$I177,1,0))</f>
        <v/>
      </c>
      <c r="M177" s="14">
        <f>IF($A177="","",IF(AND($C177=$J177,$D177=$K177),1,0))</f>
        <v/>
      </c>
      <c r="N177" s="14">
        <f>IF($A177="","",IFERROR(IF(INDEX(TICKETS_DATASET!$J$2:$J$301,MATCH($A177,TICKETS_DATASET!$A$2:$A$301,0))="ambigu",1,0),0))</f>
        <v/>
      </c>
      <c r="O177" s="14">
        <f>IF($A177="","",IF(OR($G177&lt;&gt;"",$L177=0,$M177=0),1,0))</f>
        <v/>
      </c>
    </row>
    <row r="178" ht="34" customHeight="1">
      <c r="A178" s="5" t="n"/>
      <c r="B178" s="5" t="n"/>
      <c r="C178" s="5" t="n"/>
      <c r="D178" s="5" t="n"/>
      <c r="E178" s="10" t="n"/>
      <c r="F178" s="11" t="n"/>
      <c r="G178" s="12" t="n"/>
      <c r="H178" s="12" t="n"/>
      <c r="I178" s="13">
        <f>IFERROR(INDEX(TICKETS_DATASET!$G$2:$G$301,MATCH($A178,TICKETS_DATASET!$A$2:$A$301,0)),"")</f>
        <v/>
      </c>
      <c r="J178" s="13">
        <f>IFERROR(INDEX(TICKETS_DATASET!$D$2:$D$301,MATCH($A178,TICKETS_DATASET!$A$2:$A$301,0)),"")</f>
        <v/>
      </c>
      <c r="K178" s="13">
        <f>IFERROR(INDEX(TICKETS_DATASET!$E$2:$E$301,MATCH($A178,TICKETS_DATASET!$A$2:$A$301,0)),"")</f>
        <v/>
      </c>
      <c r="L178" s="14">
        <f>IF($A178="","",IF($B178=$I178,1,0))</f>
        <v/>
      </c>
      <c r="M178" s="14">
        <f>IF($A178="","",IF(AND($C178=$J178,$D178=$K178),1,0))</f>
        <v/>
      </c>
      <c r="N178" s="14">
        <f>IF($A178="","",IFERROR(IF(INDEX(TICKETS_DATASET!$J$2:$J$301,MATCH($A178,TICKETS_DATASET!$A$2:$A$301,0))="ambigu",1,0),0))</f>
        <v/>
      </c>
      <c r="O178" s="14">
        <f>IF($A178="","",IF(OR($G178&lt;&gt;"",$L178=0,$M178=0),1,0))</f>
        <v/>
      </c>
    </row>
    <row r="179" ht="34" customHeight="1">
      <c r="A179" s="5" t="n"/>
      <c r="B179" s="5" t="n"/>
      <c r="C179" s="5" t="n"/>
      <c r="D179" s="5" t="n"/>
      <c r="E179" s="10" t="n"/>
      <c r="F179" s="11" t="n"/>
      <c r="G179" s="12" t="n"/>
      <c r="H179" s="12" t="n"/>
      <c r="I179" s="13">
        <f>IFERROR(INDEX(TICKETS_DATASET!$G$2:$G$301,MATCH($A179,TICKETS_DATASET!$A$2:$A$301,0)),"")</f>
        <v/>
      </c>
      <c r="J179" s="13">
        <f>IFERROR(INDEX(TICKETS_DATASET!$D$2:$D$301,MATCH($A179,TICKETS_DATASET!$A$2:$A$301,0)),"")</f>
        <v/>
      </c>
      <c r="K179" s="13">
        <f>IFERROR(INDEX(TICKETS_DATASET!$E$2:$E$301,MATCH($A179,TICKETS_DATASET!$A$2:$A$301,0)),"")</f>
        <v/>
      </c>
      <c r="L179" s="14">
        <f>IF($A179="","",IF($B179=$I179,1,0))</f>
        <v/>
      </c>
      <c r="M179" s="14">
        <f>IF($A179="","",IF(AND($C179=$J179,$D179=$K179),1,0))</f>
        <v/>
      </c>
      <c r="N179" s="14">
        <f>IF($A179="","",IFERROR(IF(INDEX(TICKETS_DATASET!$J$2:$J$301,MATCH($A179,TICKETS_DATASET!$A$2:$A$301,0))="ambigu",1,0),0))</f>
        <v/>
      </c>
      <c r="O179" s="14">
        <f>IF($A179="","",IF(OR($G179&lt;&gt;"",$L179=0,$M179=0),1,0))</f>
        <v/>
      </c>
    </row>
    <row r="180" ht="34" customHeight="1">
      <c r="A180" s="5" t="n"/>
      <c r="B180" s="5" t="n"/>
      <c r="C180" s="5" t="n"/>
      <c r="D180" s="5" t="n"/>
      <c r="E180" s="10" t="n"/>
      <c r="F180" s="11" t="n"/>
      <c r="G180" s="12" t="n"/>
      <c r="H180" s="12" t="n"/>
      <c r="I180" s="13">
        <f>IFERROR(INDEX(TICKETS_DATASET!$G$2:$G$301,MATCH($A180,TICKETS_DATASET!$A$2:$A$301,0)),"")</f>
        <v/>
      </c>
      <c r="J180" s="13">
        <f>IFERROR(INDEX(TICKETS_DATASET!$D$2:$D$301,MATCH($A180,TICKETS_DATASET!$A$2:$A$301,0)),"")</f>
        <v/>
      </c>
      <c r="K180" s="13">
        <f>IFERROR(INDEX(TICKETS_DATASET!$E$2:$E$301,MATCH($A180,TICKETS_DATASET!$A$2:$A$301,0)),"")</f>
        <v/>
      </c>
      <c r="L180" s="14">
        <f>IF($A180="","",IF($B180=$I180,1,0))</f>
        <v/>
      </c>
      <c r="M180" s="14">
        <f>IF($A180="","",IF(AND($C180=$J180,$D180=$K180),1,0))</f>
        <v/>
      </c>
      <c r="N180" s="14">
        <f>IF($A180="","",IFERROR(IF(INDEX(TICKETS_DATASET!$J$2:$J$301,MATCH($A180,TICKETS_DATASET!$A$2:$A$301,0))="ambigu",1,0),0))</f>
        <v/>
      </c>
      <c r="O180" s="14">
        <f>IF($A180="","",IF(OR($G180&lt;&gt;"",$L180=0,$M180=0),1,0))</f>
        <v/>
      </c>
    </row>
    <row r="181" ht="34" customHeight="1">
      <c r="A181" s="5" t="n"/>
      <c r="B181" s="5" t="n"/>
      <c r="C181" s="5" t="n"/>
      <c r="D181" s="5" t="n"/>
      <c r="E181" s="10" t="n"/>
      <c r="F181" s="11" t="n"/>
      <c r="G181" s="12" t="n"/>
      <c r="H181" s="12" t="n"/>
      <c r="I181" s="13">
        <f>IFERROR(INDEX(TICKETS_DATASET!$G$2:$G$301,MATCH($A181,TICKETS_DATASET!$A$2:$A$301,0)),"")</f>
        <v/>
      </c>
      <c r="J181" s="13">
        <f>IFERROR(INDEX(TICKETS_DATASET!$D$2:$D$301,MATCH($A181,TICKETS_DATASET!$A$2:$A$301,0)),"")</f>
        <v/>
      </c>
      <c r="K181" s="13">
        <f>IFERROR(INDEX(TICKETS_DATASET!$E$2:$E$301,MATCH($A181,TICKETS_DATASET!$A$2:$A$301,0)),"")</f>
        <v/>
      </c>
      <c r="L181" s="14">
        <f>IF($A181="","",IF($B181=$I181,1,0))</f>
        <v/>
      </c>
      <c r="M181" s="14">
        <f>IF($A181="","",IF(AND($C181=$J181,$D181=$K181),1,0))</f>
        <v/>
      </c>
      <c r="N181" s="14">
        <f>IF($A181="","",IFERROR(IF(INDEX(TICKETS_DATASET!$J$2:$J$301,MATCH($A181,TICKETS_DATASET!$A$2:$A$301,0))="ambigu",1,0),0))</f>
        <v/>
      </c>
      <c r="O181" s="14">
        <f>IF($A181="","",IF(OR($G181&lt;&gt;"",$L181=0,$M181=0),1,0))</f>
        <v/>
      </c>
    </row>
    <row r="182" ht="34" customHeight="1">
      <c r="A182" s="5" t="n"/>
      <c r="B182" s="5" t="n"/>
      <c r="C182" s="5" t="n"/>
      <c r="D182" s="5" t="n"/>
      <c r="E182" s="10" t="n"/>
      <c r="F182" s="11" t="n"/>
      <c r="G182" s="12" t="n"/>
      <c r="H182" s="12" t="n"/>
      <c r="I182" s="13">
        <f>IFERROR(INDEX(TICKETS_DATASET!$G$2:$G$301,MATCH($A182,TICKETS_DATASET!$A$2:$A$301,0)),"")</f>
        <v/>
      </c>
      <c r="J182" s="13">
        <f>IFERROR(INDEX(TICKETS_DATASET!$D$2:$D$301,MATCH($A182,TICKETS_DATASET!$A$2:$A$301,0)),"")</f>
        <v/>
      </c>
      <c r="K182" s="13">
        <f>IFERROR(INDEX(TICKETS_DATASET!$E$2:$E$301,MATCH($A182,TICKETS_DATASET!$A$2:$A$301,0)),"")</f>
        <v/>
      </c>
      <c r="L182" s="14">
        <f>IF($A182="","",IF($B182=$I182,1,0))</f>
        <v/>
      </c>
      <c r="M182" s="14">
        <f>IF($A182="","",IF(AND($C182=$J182,$D182=$K182),1,0))</f>
        <v/>
      </c>
      <c r="N182" s="14">
        <f>IF($A182="","",IFERROR(IF(INDEX(TICKETS_DATASET!$J$2:$J$301,MATCH($A182,TICKETS_DATASET!$A$2:$A$301,0))="ambigu",1,0),0))</f>
        <v/>
      </c>
      <c r="O182" s="14">
        <f>IF($A182="","",IF(OR($G182&lt;&gt;"",$L182=0,$M182=0),1,0))</f>
        <v/>
      </c>
    </row>
    <row r="183" ht="34" customHeight="1">
      <c r="A183" s="5" t="n"/>
      <c r="B183" s="5" t="n"/>
      <c r="C183" s="5" t="n"/>
      <c r="D183" s="5" t="n"/>
      <c r="E183" s="10" t="n"/>
      <c r="F183" s="11" t="n"/>
      <c r="G183" s="12" t="n"/>
      <c r="H183" s="12" t="n"/>
      <c r="I183" s="13">
        <f>IFERROR(INDEX(TICKETS_DATASET!$G$2:$G$301,MATCH($A183,TICKETS_DATASET!$A$2:$A$301,0)),"")</f>
        <v/>
      </c>
      <c r="J183" s="13">
        <f>IFERROR(INDEX(TICKETS_DATASET!$D$2:$D$301,MATCH($A183,TICKETS_DATASET!$A$2:$A$301,0)),"")</f>
        <v/>
      </c>
      <c r="K183" s="13">
        <f>IFERROR(INDEX(TICKETS_DATASET!$E$2:$E$301,MATCH($A183,TICKETS_DATASET!$A$2:$A$301,0)),"")</f>
        <v/>
      </c>
      <c r="L183" s="14">
        <f>IF($A183="","",IF($B183=$I183,1,0))</f>
        <v/>
      </c>
      <c r="M183" s="14">
        <f>IF($A183="","",IF(AND($C183=$J183,$D183=$K183),1,0))</f>
        <v/>
      </c>
      <c r="N183" s="14">
        <f>IF($A183="","",IFERROR(IF(INDEX(TICKETS_DATASET!$J$2:$J$301,MATCH($A183,TICKETS_DATASET!$A$2:$A$301,0))="ambigu",1,0),0))</f>
        <v/>
      </c>
      <c r="O183" s="14">
        <f>IF($A183="","",IF(OR($G183&lt;&gt;"",$L183=0,$M183=0),1,0))</f>
        <v/>
      </c>
    </row>
    <row r="184" ht="34" customHeight="1">
      <c r="A184" s="5" t="n"/>
      <c r="B184" s="5" t="n"/>
      <c r="C184" s="5" t="n"/>
      <c r="D184" s="5" t="n"/>
      <c r="E184" s="10" t="n"/>
      <c r="F184" s="11" t="n"/>
      <c r="G184" s="12" t="n"/>
      <c r="H184" s="12" t="n"/>
      <c r="I184" s="13">
        <f>IFERROR(INDEX(TICKETS_DATASET!$G$2:$G$301,MATCH($A184,TICKETS_DATASET!$A$2:$A$301,0)),"")</f>
        <v/>
      </c>
      <c r="J184" s="13">
        <f>IFERROR(INDEX(TICKETS_DATASET!$D$2:$D$301,MATCH($A184,TICKETS_DATASET!$A$2:$A$301,0)),"")</f>
        <v/>
      </c>
      <c r="K184" s="13">
        <f>IFERROR(INDEX(TICKETS_DATASET!$E$2:$E$301,MATCH($A184,TICKETS_DATASET!$A$2:$A$301,0)),"")</f>
        <v/>
      </c>
      <c r="L184" s="14">
        <f>IF($A184="","",IF($B184=$I184,1,0))</f>
        <v/>
      </c>
      <c r="M184" s="14">
        <f>IF($A184="","",IF(AND($C184=$J184,$D184=$K184),1,0))</f>
        <v/>
      </c>
      <c r="N184" s="14">
        <f>IF($A184="","",IFERROR(IF(INDEX(TICKETS_DATASET!$J$2:$J$301,MATCH($A184,TICKETS_DATASET!$A$2:$A$301,0))="ambigu",1,0),0))</f>
        <v/>
      </c>
      <c r="O184" s="14">
        <f>IF($A184="","",IF(OR($G184&lt;&gt;"",$L184=0,$M184=0),1,0))</f>
        <v/>
      </c>
    </row>
    <row r="185" ht="34" customHeight="1">
      <c r="A185" s="5" t="n"/>
      <c r="B185" s="5" t="n"/>
      <c r="C185" s="5" t="n"/>
      <c r="D185" s="5" t="n"/>
      <c r="E185" s="10" t="n"/>
      <c r="F185" s="11" t="n"/>
      <c r="G185" s="12" t="n"/>
      <c r="H185" s="12" t="n"/>
      <c r="I185" s="13">
        <f>IFERROR(INDEX(TICKETS_DATASET!$G$2:$G$301,MATCH($A185,TICKETS_DATASET!$A$2:$A$301,0)),"")</f>
        <v/>
      </c>
      <c r="J185" s="13">
        <f>IFERROR(INDEX(TICKETS_DATASET!$D$2:$D$301,MATCH($A185,TICKETS_DATASET!$A$2:$A$301,0)),"")</f>
        <v/>
      </c>
      <c r="K185" s="13">
        <f>IFERROR(INDEX(TICKETS_DATASET!$E$2:$E$301,MATCH($A185,TICKETS_DATASET!$A$2:$A$301,0)),"")</f>
        <v/>
      </c>
      <c r="L185" s="14">
        <f>IF($A185="","",IF($B185=$I185,1,0))</f>
        <v/>
      </c>
      <c r="M185" s="14">
        <f>IF($A185="","",IF(AND($C185=$J185,$D185=$K185),1,0))</f>
        <v/>
      </c>
      <c r="N185" s="14">
        <f>IF($A185="","",IFERROR(IF(INDEX(TICKETS_DATASET!$J$2:$J$301,MATCH($A185,TICKETS_DATASET!$A$2:$A$301,0))="ambigu",1,0),0))</f>
        <v/>
      </c>
      <c r="O185" s="14">
        <f>IF($A185="","",IF(OR($G185&lt;&gt;"",$L185=0,$M185=0),1,0))</f>
        <v/>
      </c>
    </row>
    <row r="186" ht="34" customHeight="1">
      <c r="A186" s="5" t="n"/>
      <c r="B186" s="5" t="n"/>
      <c r="C186" s="5" t="n"/>
      <c r="D186" s="5" t="n"/>
      <c r="E186" s="10" t="n"/>
      <c r="F186" s="11" t="n"/>
      <c r="G186" s="12" t="n"/>
      <c r="H186" s="12" t="n"/>
      <c r="I186" s="13">
        <f>IFERROR(INDEX(TICKETS_DATASET!$G$2:$G$301,MATCH($A186,TICKETS_DATASET!$A$2:$A$301,0)),"")</f>
        <v/>
      </c>
      <c r="J186" s="13">
        <f>IFERROR(INDEX(TICKETS_DATASET!$D$2:$D$301,MATCH($A186,TICKETS_DATASET!$A$2:$A$301,0)),"")</f>
        <v/>
      </c>
      <c r="K186" s="13">
        <f>IFERROR(INDEX(TICKETS_DATASET!$E$2:$E$301,MATCH($A186,TICKETS_DATASET!$A$2:$A$301,0)),"")</f>
        <v/>
      </c>
      <c r="L186" s="14">
        <f>IF($A186="","",IF($B186=$I186,1,0))</f>
        <v/>
      </c>
      <c r="M186" s="14">
        <f>IF($A186="","",IF(AND($C186=$J186,$D186=$K186),1,0))</f>
        <v/>
      </c>
      <c r="N186" s="14">
        <f>IF($A186="","",IFERROR(IF(INDEX(TICKETS_DATASET!$J$2:$J$301,MATCH($A186,TICKETS_DATASET!$A$2:$A$301,0))="ambigu",1,0),0))</f>
        <v/>
      </c>
      <c r="O186" s="14">
        <f>IF($A186="","",IF(OR($G186&lt;&gt;"",$L186=0,$M186=0),1,0))</f>
        <v/>
      </c>
    </row>
    <row r="187" ht="34" customHeight="1">
      <c r="A187" s="5" t="n"/>
      <c r="B187" s="5" t="n"/>
      <c r="C187" s="5" t="n"/>
      <c r="D187" s="5" t="n"/>
      <c r="E187" s="10" t="n"/>
      <c r="F187" s="11" t="n"/>
      <c r="G187" s="12" t="n"/>
      <c r="H187" s="12" t="n"/>
      <c r="I187" s="13">
        <f>IFERROR(INDEX(TICKETS_DATASET!$G$2:$G$301,MATCH($A187,TICKETS_DATASET!$A$2:$A$301,0)),"")</f>
        <v/>
      </c>
      <c r="J187" s="13">
        <f>IFERROR(INDEX(TICKETS_DATASET!$D$2:$D$301,MATCH($A187,TICKETS_DATASET!$A$2:$A$301,0)),"")</f>
        <v/>
      </c>
      <c r="K187" s="13">
        <f>IFERROR(INDEX(TICKETS_DATASET!$E$2:$E$301,MATCH($A187,TICKETS_DATASET!$A$2:$A$301,0)),"")</f>
        <v/>
      </c>
      <c r="L187" s="14">
        <f>IF($A187="","",IF($B187=$I187,1,0))</f>
        <v/>
      </c>
      <c r="M187" s="14">
        <f>IF($A187="","",IF(AND($C187=$J187,$D187=$K187),1,0))</f>
        <v/>
      </c>
      <c r="N187" s="14">
        <f>IF($A187="","",IFERROR(IF(INDEX(TICKETS_DATASET!$J$2:$J$301,MATCH($A187,TICKETS_DATASET!$A$2:$A$301,0))="ambigu",1,0),0))</f>
        <v/>
      </c>
      <c r="O187" s="14">
        <f>IF($A187="","",IF(OR($G187&lt;&gt;"",$L187=0,$M187=0),1,0))</f>
        <v/>
      </c>
    </row>
    <row r="188" ht="34" customHeight="1">
      <c r="A188" s="5" t="n"/>
      <c r="B188" s="5" t="n"/>
      <c r="C188" s="5" t="n"/>
      <c r="D188" s="5" t="n"/>
      <c r="E188" s="10" t="n"/>
      <c r="F188" s="11" t="n"/>
      <c r="G188" s="12" t="n"/>
      <c r="H188" s="12" t="n"/>
      <c r="I188" s="13">
        <f>IFERROR(INDEX(TICKETS_DATASET!$G$2:$G$301,MATCH($A188,TICKETS_DATASET!$A$2:$A$301,0)),"")</f>
        <v/>
      </c>
      <c r="J188" s="13">
        <f>IFERROR(INDEX(TICKETS_DATASET!$D$2:$D$301,MATCH($A188,TICKETS_DATASET!$A$2:$A$301,0)),"")</f>
        <v/>
      </c>
      <c r="K188" s="13">
        <f>IFERROR(INDEX(TICKETS_DATASET!$E$2:$E$301,MATCH($A188,TICKETS_DATASET!$A$2:$A$301,0)),"")</f>
        <v/>
      </c>
      <c r="L188" s="14">
        <f>IF($A188="","",IF($B188=$I188,1,0))</f>
        <v/>
      </c>
      <c r="M188" s="14">
        <f>IF($A188="","",IF(AND($C188=$J188,$D188=$K188),1,0))</f>
        <v/>
      </c>
      <c r="N188" s="14">
        <f>IF($A188="","",IFERROR(IF(INDEX(TICKETS_DATASET!$J$2:$J$301,MATCH($A188,TICKETS_DATASET!$A$2:$A$301,0))="ambigu",1,0),0))</f>
        <v/>
      </c>
      <c r="O188" s="14">
        <f>IF($A188="","",IF(OR($G188&lt;&gt;"",$L188=0,$M188=0),1,0))</f>
        <v/>
      </c>
    </row>
    <row r="189" ht="34" customHeight="1">
      <c r="A189" s="5" t="n"/>
      <c r="B189" s="5" t="n"/>
      <c r="C189" s="5" t="n"/>
      <c r="D189" s="5" t="n"/>
      <c r="E189" s="10" t="n"/>
      <c r="F189" s="11" t="n"/>
      <c r="G189" s="12" t="n"/>
      <c r="H189" s="12" t="n"/>
      <c r="I189" s="13">
        <f>IFERROR(INDEX(TICKETS_DATASET!$G$2:$G$301,MATCH($A189,TICKETS_DATASET!$A$2:$A$301,0)),"")</f>
        <v/>
      </c>
      <c r="J189" s="13">
        <f>IFERROR(INDEX(TICKETS_DATASET!$D$2:$D$301,MATCH($A189,TICKETS_DATASET!$A$2:$A$301,0)),"")</f>
        <v/>
      </c>
      <c r="K189" s="13">
        <f>IFERROR(INDEX(TICKETS_DATASET!$E$2:$E$301,MATCH($A189,TICKETS_DATASET!$A$2:$A$301,0)),"")</f>
        <v/>
      </c>
      <c r="L189" s="14">
        <f>IF($A189="","",IF($B189=$I189,1,0))</f>
        <v/>
      </c>
      <c r="M189" s="14">
        <f>IF($A189="","",IF(AND($C189=$J189,$D189=$K189),1,0))</f>
        <v/>
      </c>
      <c r="N189" s="14">
        <f>IF($A189="","",IFERROR(IF(INDEX(TICKETS_DATASET!$J$2:$J$301,MATCH($A189,TICKETS_DATASET!$A$2:$A$301,0))="ambigu",1,0),0))</f>
        <v/>
      </c>
      <c r="O189" s="14">
        <f>IF($A189="","",IF(OR($G189&lt;&gt;"",$L189=0,$M189=0),1,0))</f>
        <v/>
      </c>
    </row>
    <row r="190" ht="34" customHeight="1">
      <c r="A190" s="5" t="n"/>
      <c r="B190" s="5" t="n"/>
      <c r="C190" s="5" t="n"/>
      <c r="D190" s="5" t="n"/>
      <c r="E190" s="10" t="n"/>
      <c r="F190" s="11" t="n"/>
      <c r="G190" s="12" t="n"/>
      <c r="H190" s="12" t="n"/>
      <c r="I190" s="13">
        <f>IFERROR(INDEX(TICKETS_DATASET!$G$2:$G$301,MATCH($A190,TICKETS_DATASET!$A$2:$A$301,0)),"")</f>
        <v/>
      </c>
      <c r="J190" s="13">
        <f>IFERROR(INDEX(TICKETS_DATASET!$D$2:$D$301,MATCH($A190,TICKETS_DATASET!$A$2:$A$301,0)),"")</f>
        <v/>
      </c>
      <c r="K190" s="13">
        <f>IFERROR(INDEX(TICKETS_DATASET!$E$2:$E$301,MATCH($A190,TICKETS_DATASET!$A$2:$A$301,0)),"")</f>
        <v/>
      </c>
      <c r="L190" s="14">
        <f>IF($A190="","",IF($B190=$I190,1,0))</f>
        <v/>
      </c>
      <c r="M190" s="14">
        <f>IF($A190="","",IF(AND($C190=$J190,$D190=$K190),1,0))</f>
        <v/>
      </c>
      <c r="N190" s="14">
        <f>IF($A190="","",IFERROR(IF(INDEX(TICKETS_DATASET!$J$2:$J$301,MATCH($A190,TICKETS_DATASET!$A$2:$A$301,0))="ambigu",1,0),0))</f>
        <v/>
      </c>
      <c r="O190" s="14">
        <f>IF($A190="","",IF(OR($G190&lt;&gt;"",$L190=0,$M190=0),1,0))</f>
        <v/>
      </c>
    </row>
    <row r="191" ht="34" customHeight="1">
      <c r="A191" s="5" t="n"/>
      <c r="B191" s="5" t="n"/>
      <c r="C191" s="5" t="n"/>
      <c r="D191" s="5" t="n"/>
      <c r="E191" s="10" t="n"/>
      <c r="F191" s="11" t="n"/>
      <c r="G191" s="12" t="n"/>
      <c r="H191" s="12" t="n"/>
      <c r="I191" s="13">
        <f>IFERROR(INDEX(TICKETS_DATASET!$G$2:$G$301,MATCH($A191,TICKETS_DATASET!$A$2:$A$301,0)),"")</f>
        <v/>
      </c>
      <c r="J191" s="13">
        <f>IFERROR(INDEX(TICKETS_DATASET!$D$2:$D$301,MATCH($A191,TICKETS_DATASET!$A$2:$A$301,0)),"")</f>
        <v/>
      </c>
      <c r="K191" s="13">
        <f>IFERROR(INDEX(TICKETS_DATASET!$E$2:$E$301,MATCH($A191,TICKETS_DATASET!$A$2:$A$301,0)),"")</f>
        <v/>
      </c>
      <c r="L191" s="14">
        <f>IF($A191="","",IF($B191=$I191,1,0))</f>
        <v/>
      </c>
      <c r="M191" s="14">
        <f>IF($A191="","",IF(AND($C191=$J191,$D191=$K191),1,0))</f>
        <v/>
      </c>
      <c r="N191" s="14">
        <f>IF($A191="","",IFERROR(IF(INDEX(TICKETS_DATASET!$J$2:$J$301,MATCH($A191,TICKETS_DATASET!$A$2:$A$301,0))="ambigu",1,0),0))</f>
        <v/>
      </c>
      <c r="O191" s="14">
        <f>IF($A191="","",IF(OR($G191&lt;&gt;"",$L191=0,$M191=0),1,0))</f>
        <v/>
      </c>
    </row>
    <row r="192" ht="34" customHeight="1">
      <c r="A192" s="5" t="n"/>
      <c r="B192" s="5" t="n"/>
      <c r="C192" s="5" t="n"/>
      <c r="D192" s="5" t="n"/>
      <c r="E192" s="10" t="n"/>
      <c r="F192" s="11" t="n"/>
      <c r="G192" s="12" t="n"/>
      <c r="H192" s="12" t="n"/>
      <c r="I192" s="13">
        <f>IFERROR(INDEX(TICKETS_DATASET!$G$2:$G$301,MATCH($A192,TICKETS_DATASET!$A$2:$A$301,0)),"")</f>
        <v/>
      </c>
      <c r="J192" s="13">
        <f>IFERROR(INDEX(TICKETS_DATASET!$D$2:$D$301,MATCH($A192,TICKETS_DATASET!$A$2:$A$301,0)),"")</f>
        <v/>
      </c>
      <c r="K192" s="13">
        <f>IFERROR(INDEX(TICKETS_DATASET!$E$2:$E$301,MATCH($A192,TICKETS_DATASET!$A$2:$A$301,0)),"")</f>
        <v/>
      </c>
      <c r="L192" s="14">
        <f>IF($A192="","",IF($B192=$I192,1,0))</f>
        <v/>
      </c>
      <c r="M192" s="14">
        <f>IF($A192="","",IF(AND($C192=$J192,$D192=$K192),1,0))</f>
        <v/>
      </c>
      <c r="N192" s="14">
        <f>IF($A192="","",IFERROR(IF(INDEX(TICKETS_DATASET!$J$2:$J$301,MATCH($A192,TICKETS_DATASET!$A$2:$A$301,0))="ambigu",1,0),0))</f>
        <v/>
      </c>
      <c r="O192" s="14">
        <f>IF($A192="","",IF(OR($G192&lt;&gt;"",$L192=0,$M192=0),1,0))</f>
        <v/>
      </c>
    </row>
    <row r="193" ht="34" customHeight="1">
      <c r="A193" s="5" t="n"/>
      <c r="B193" s="5" t="n"/>
      <c r="C193" s="5" t="n"/>
      <c r="D193" s="5" t="n"/>
      <c r="E193" s="10" t="n"/>
      <c r="F193" s="11" t="n"/>
      <c r="G193" s="12" t="n"/>
      <c r="H193" s="12" t="n"/>
      <c r="I193" s="13">
        <f>IFERROR(INDEX(TICKETS_DATASET!$G$2:$G$301,MATCH($A193,TICKETS_DATASET!$A$2:$A$301,0)),"")</f>
        <v/>
      </c>
      <c r="J193" s="13">
        <f>IFERROR(INDEX(TICKETS_DATASET!$D$2:$D$301,MATCH($A193,TICKETS_DATASET!$A$2:$A$301,0)),"")</f>
        <v/>
      </c>
      <c r="K193" s="13">
        <f>IFERROR(INDEX(TICKETS_DATASET!$E$2:$E$301,MATCH($A193,TICKETS_DATASET!$A$2:$A$301,0)),"")</f>
        <v/>
      </c>
      <c r="L193" s="14">
        <f>IF($A193="","",IF($B193=$I193,1,0))</f>
        <v/>
      </c>
      <c r="M193" s="14">
        <f>IF($A193="","",IF(AND($C193=$J193,$D193=$K193),1,0))</f>
        <v/>
      </c>
      <c r="N193" s="14">
        <f>IF($A193="","",IFERROR(IF(INDEX(TICKETS_DATASET!$J$2:$J$301,MATCH($A193,TICKETS_DATASET!$A$2:$A$301,0))="ambigu",1,0),0))</f>
        <v/>
      </c>
      <c r="O193" s="14">
        <f>IF($A193="","",IF(OR($G193&lt;&gt;"",$L193=0,$M193=0),1,0))</f>
        <v/>
      </c>
    </row>
    <row r="194" ht="34" customHeight="1">
      <c r="A194" s="5" t="n"/>
      <c r="B194" s="5" t="n"/>
      <c r="C194" s="5" t="n"/>
      <c r="D194" s="5" t="n"/>
      <c r="E194" s="10" t="n"/>
      <c r="F194" s="11" t="n"/>
      <c r="G194" s="12" t="n"/>
      <c r="H194" s="12" t="n"/>
      <c r="I194" s="13">
        <f>IFERROR(INDEX(TICKETS_DATASET!$G$2:$G$301,MATCH($A194,TICKETS_DATASET!$A$2:$A$301,0)),"")</f>
        <v/>
      </c>
      <c r="J194" s="13">
        <f>IFERROR(INDEX(TICKETS_DATASET!$D$2:$D$301,MATCH($A194,TICKETS_DATASET!$A$2:$A$301,0)),"")</f>
        <v/>
      </c>
      <c r="K194" s="13">
        <f>IFERROR(INDEX(TICKETS_DATASET!$E$2:$E$301,MATCH($A194,TICKETS_DATASET!$A$2:$A$301,0)),"")</f>
        <v/>
      </c>
      <c r="L194" s="14">
        <f>IF($A194="","",IF($B194=$I194,1,0))</f>
        <v/>
      </c>
      <c r="M194" s="14">
        <f>IF($A194="","",IF(AND($C194=$J194,$D194=$K194),1,0))</f>
        <v/>
      </c>
      <c r="N194" s="14">
        <f>IF($A194="","",IFERROR(IF(INDEX(TICKETS_DATASET!$J$2:$J$301,MATCH($A194,TICKETS_DATASET!$A$2:$A$301,0))="ambigu",1,0),0))</f>
        <v/>
      </c>
      <c r="O194" s="14">
        <f>IF($A194="","",IF(OR($G194&lt;&gt;"",$L194=0,$M194=0),1,0))</f>
        <v/>
      </c>
    </row>
    <row r="195" ht="34" customHeight="1">
      <c r="A195" s="5" t="n"/>
      <c r="B195" s="5" t="n"/>
      <c r="C195" s="5" t="n"/>
      <c r="D195" s="5" t="n"/>
      <c r="E195" s="10" t="n"/>
      <c r="F195" s="11" t="n"/>
      <c r="G195" s="12" t="n"/>
      <c r="H195" s="12" t="n"/>
      <c r="I195" s="13">
        <f>IFERROR(INDEX(TICKETS_DATASET!$G$2:$G$301,MATCH($A195,TICKETS_DATASET!$A$2:$A$301,0)),"")</f>
        <v/>
      </c>
      <c r="J195" s="13">
        <f>IFERROR(INDEX(TICKETS_DATASET!$D$2:$D$301,MATCH($A195,TICKETS_DATASET!$A$2:$A$301,0)),"")</f>
        <v/>
      </c>
      <c r="K195" s="13">
        <f>IFERROR(INDEX(TICKETS_DATASET!$E$2:$E$301,MATCH($A195,TICKETS_DATASET!$A$2:$A$301,0)),"")</f>
        <v/>
      </c>
      <c r="L195" s="14">
        <f>IF($A195="","",IF($B195=$I195,1,0))</f>
        <v/>
      </c>
      <c r="M195" s="14">
        <f>IF($A195="","",IF(AND($C195=$J195,$D195=$K195),1,0))</f>
        <v/>
      </c>
      <c r="N195" s="14">
        <f>IF($A195="","",IFERROR(IF(INDEX(TICKETS_DATASET!$J$2:$J$301,MATCH($A195,TICKETS_DATASET!$A$2:$A$301,0))="ambigu",1,0),0))</f>
        <v/>
      </c>
      <c r="O195" s="14">
        <f>IF($A195="","",IF(OR($G195&lt;&gt;"",$L195=0,$M195=0),1,0))</f>
        <v/>
      </c>
    </row>
    <row r="196" ht="34" customHeight="1">
      <c r="A196" s="5" t="n"/>
      <c r="B196" s="5" t="n"/>
      <c r="C196" s="5" t="n"/>
      <c r="D196" s="5" t="n"/>
      <c r="E196" s="10" t="n"/>
      <c r="F196" s="11" t="n"/>
      <c r="G196" s="12" t="n"/>
      <c r="H196" s="12" t="n"/>
      <c r="I196" s="13">
        <f>IFERROR(INDEX(TICKETS_DATASET!$G$2:$G$301,MATCH($A196,TICKETS_DATASET!$A$2:$A$301,0)),"")</f>
        <v/>
      </c>
      <c r="J196" s="13">
        <f>IFERROR(INDEX(TICKETS_DATASET!$D$2:$D$301,MATCH($A196,TICKETS_DATASET!$A$2:$A$301,0)),"")</f>
        <v/>
      </c>
      <c r="K196" s="13">
        <f>IFERROR(INDEX(TICKETS_DATASET!$E$2:$E$301,MATCH($A196,TICKETS_DATASET!$A$2:$A$301,0)),"")</f>
        <v/>
      </c>
      <c r="L196" s="14">
        <f>IF($A196="","",IF($B196=$I196,1,0))</f>
        <v/>
      </c>
      <c r="M196" s="14">
        <f>IF($A196="","",IF(AND($C196=$J196,$D196=$K196),1,0))</f>
        <v/>
      </c>
      <c r="N196" s="14">
        <f>IF($A196="","",IFERROR(IF(INDEX(TICKETS_DATASET!$J$2:$J$301,MATCH($A196,TICKETS_DATASET!$A$2:$A$301,0))="ambigu",1,0),0))</f>
        <v/>
      </c>
      <c r="O196" s="14">
        <f>IF($A196="","",IF(OR($G196&lt;&gt;"",$L196=0,$M196=0),1,0))</f>
        <v/>
      </c>
    </row>
    <row r="197" ht="34" customHeight="1">
      <c r="A197" s="5" t="n"/>
      <c r="B197" s="5" t="n"/>
      <c r="C197" s="5" t="n"/>
      <c r="D197" s="5" t="n"/>
      <c r="E197" s="10" t="n"/>
      <c r="F197" s="11" t="n"/>
      <c r="G197" s="12" t="n"/>
      <c r="H197" s="12" t="n"/>
      <c r="I197" s="13">
        <f>IFERROR(INDEX(TICKETS_DATASET!$G$2:$G$301,MATCH($A197,TICKETS_DATASET!$A$2:$A$301,0)),"")</f>
        <v/>
      </c>
      <c r="J197" s="13">
        <f>IFERROR(INDEX(TICKETS_DATASET!$D$2:$D$301,MATCH($A197,TICKETS_DATASET!$A$2:$A$301,0)),"")</f>
        <v/>
      </c>
      <c r="K197" s="13">
        <f>IFERROR(INDEX(TICKETS_DATASET!$E$2:$E$301,MATCH($A197,TICKETS_DATASET!$A$2:$A$301,0)),"")</f>
        <v/>
      </c>
      <c r="L197" s="14">
        <f>IF($A197="","",IF($B197=$I197,1,0))</f>
        <v/>
      </c>
      <c r="M197" s="14">
        <f>IF($A197="","",IF(AND($C197=$J197,$D197=$K197),1,0))</f>
        <v/>
      </c>
      <c r="N197" s="14">
        <f>IF($A197="","",IFERROR(IF(INDEX(TICKETS_DATASET!$J$2:$J$301,MATCH($A197,TICKETS_DATASET!$A$2:$A$301,0))="ambigu",1,0),0))</f>
        <v/>
      </c>
      <c r="O197" s="14">
        <f>IF($A197="","",IF(OR($G197&lt;&gt;"",$L197=0,$M197=0),1,0))</f>
        <v/>
      </c>
    </row>
    <row r="198" ht="34" customHeight="1">
      <c r="A198" s="5" t="n"/>
      <c r="B198" s="5" t="n"/>
      <c r="C198" s="5" t="n"/>
      <c r="D198" s="5" t="n"/>
      <c r="E198" s="10" t="n"/>
      <c r="F198" s="11" t="n"/>
      <c r="G198" s="12" t="n"/>
      <c r="H198" s="12" t="n"/>
      <c r="I198" s="13">
        <f>IFERROR(INDEX(TICKETS_DATASET!$G$2:$G$301,MATCH($A198,TICKETS_DATASET!$A$2:$A$301,0)),"")</f>
        <v/>
      </c>
      <c r="J198" s="13">
        <f>IFERROR(INDEX(TICKETS_DATASET!$D$2:$D$301,MATCH($A198,TICKETS_DATASET!$A$2:$A$301,0)),"")</f>
        <v/>
      </c>
      <c r="K198" s="13">
        <f>IFERROR(INDEX(TICKETS_DATASET!$E$2:$E$301,MATCH($A198,TICKETS_DATASET!$A$2:$A$301,0)),"")</f>
        <v/>
      </c>
      <c r="L198" s="14">
        <f>IF($A198="","",IF($B198=$I198,1,0))</f>
        <v/>
      </c>
      <c r="M198" s="14">
        <f>IF($A198="","",IF(AND($C198=$J198,$D198=$K198),1,0))</f>
        <v/>
      </c>
      <c r="N198" s="14">
        <f>IF($A198="","",IFERROR(IF(INDEX(TICKETS_DATASET!$J$2:$J$301,MATCH($A198,TICKETS_DATASET!$A$2:$A$301,0))="ambigu",1,0),0))</f>
        <v/>
      </c>
      <c r="O198" s="14">
        <f>IF($A198="","",IF(OR($G198&lt;&gt;"",$L198=0,$M198=0),1,0))</f>
        <v/>
      </c>
    </row>
    <row r="199" ht="34" customHeight="1">
      <c r="A199" s="5" t="n"/>
      <c r="B199" s="5" t="n"/>
      <c r="C199" s="5" t="n"/>
      <c r="D199" s="5" t="n"/>
      <c r="E199" s="10" t="n"/>
      <c r="F199" s="11" t="n"/>
      <c r="G199" s="12" t="n"/>
      <c r="H199" s="12" t="n"/>
      <c r="I199" s="13">
        <f>IFERROR(INDEX(TICKETS_DATASET!$G$2:$G$301,MATCH($A199,TICKETS_DATASET!$A$2:$A$301,0)),"")</f>
        <v/>
      </c>
      <c r="J199" s="13">
        <f>IFERROR(INDEX(TICKETS_DATASET!$D$2:$D$301,MATCH($A199,TICKETS_DATASET!$A$2:$A$301,0)),"")</f>
        <v/>
      </c>
      <c r="K199" s="13">
        <f>IFERROR(INDEX(TICKETS_DATASET!$E$2:$E$301,MATCH($A199,TICKETS_DATASET!$A$2:$A$301,0)),"")</f>
        <v/>
      </c>
      <c r="L199" s="14">
        <f>IF($A199="","",IF($B199=$I199,1,0))</f>
        <v/>
      </c>
      <c r="M199" s="14">
        <f>IF($A199="","",IF(AND($C199=$J199,$D199=$K199),1,0))</f>
        <v/>
      </c>
      <c r="N199" s="14">
        <f>IF($A199="","",IFERROR(IF(INDEX(TICKETS_DATASET!$J$2:$J$301,MATCH($A199,TICKETS_DATASET!$A$2:$A$301,0))="ambigu",1,0),0))</f>
        <v/>
      </c>
      <c r="O199" s="14">
        <f>IF($A199="","",IF(OR($G199&lt;&gt;"",$L199=0,$M199=0),1,0))</f>
        <v/>
      </c>
    </row>
    <row r="200" ht="34" customHeight="1">
      <c r="A200" s="5" t="n"/>
      <c r="B200" s="5" t="n"/>
      <c r="C200" s="5" t="n"/>
      <c r="D200" s="5" t="n"/>
      <c r="E200" s="10" t="n"/>
      <c r="F200" s="11" t="n"/>
      <c r="G200" s="12" t="n"/>
      <c r="H200" s="12" t="n"/>
      <c r="I200" s="13">
        <f>IFERROR(INDEX(TICKETS_DATASET!$G$2:$G$301,MATCH($A200,TICKETS_DATASET!$A$2:$A$301,0)),"")</f>
        <v/>
      </c>
      <c r="J200" s="13">
        <f>IFERROR(INDEX(TICKETS_DATASET!$D$2:$D$301,MATCH($A200,TICKETS_DATASET!$A$2:$A$301,0)),"")</f>
        <v/>
      </c>
      <c r="K200" s="13">
        <f>IFERROR(INDEX(TICKETS_DATASET!$E$2:$E$301,MATCH($A200,TICKETS_DATASET!$A$2:$A$301,0)),"")</f>
        <v/>
      </c>
      <c r="L200" s="14">
        <f>IF($A200="","",IF($B200=$I200,1,0))</f>
        <v/>
      </c>
      <c r="M200" s="14">
        <f>IF($A200="","",IF(AND($C200=$J200,$D200=$K200),1,0))</f>
        <v/>
      </c>
      <c r="N200" s="14">
        <f>IF($A200="","",IFERROR(IF(INDEX(TICKETS_DATASET!$J$2:$J$301,MATCH($A200,TICKETS_DATASET!$A$2:$A$301,0))="ambigu",1,0),0))</f>
        <v/>
      </c>
      <c r="O200" s="14">
        <f>IF($A200="","",IF(OR($G200&lt;&gt;"",$L200=0,$M200=0),1,0))</f>
        <v/>
      </c>
    </row>
    <row r="201" ht="34" customHeight="1">
      <c r="A201" s="5" t="n"/>
      <c r="B201" s="5" t="n"/>
      <c r="C201" s="5" t="n"/>
      <c r="D201" s="5" t="n"/>
      <c r="E201" s="10" t="n"/>
      <c r="F201" s="11" t="n"/>
      <c r="G201" s="12" t="n"/>
      <c r="H201" s="12" t="n"/>
      <c r="I201" s="13">
        <f>IFERROR(INDEX(TICKETS_DATASET!$G$2:$G$301,MATCH($A201,TICKETS_DATASET!$A$2:$A$301,0)),"")</f>
        <v/>
      </c>
      <c r="J201" s="13">
        <f>IFERROR(INDEX(TICKETS_DATASET!$D$2:$D$301,MATCH($A201,TICKETS_DATASET!$A$2:$A$301,0)),"")</f>
        <v/>
      </c>
      <c r="K201" s="13">
        <f>IFERROR(INDEX(TICKETS_DATASET!$E$2:$E$301,MATCH($A201,TICKETS_DATASET!$A$2:$A$301,0)),"")</f>
        <v/>
      </c>
      <c r="L201" s="14">
        <f>IF($A201="","",IF($B201=$I201,1,0))</f>
        <v/>
      </c>
      <c r="M201" s="14">
        <f>IF($A201="","",IF(AND($C201=$J201,$D201=$K201),1,0))</f>
        <v/>
      </c>
      <c r="N201" s="14">
        <f>IF($A201="","",IFERROR(IF(INDEX(TICKETS_DATASET!$J$2:$J$301,MATCH($A201,TICKETS_DATASET!$A$2:$A$301,0))="ambigu",1,0),0))</f>
        <v/>
      </c>
      <c r="O201" s="14">
        <f>IF($A201="","",IF(OR($G201&lt;&gt;"",$L201=0,$M201=0),1,0))</f>
        <v/>
      </c>
    </row>
    <row r="202" ht="34" customHeight="1">
      <c r="A202" s="5" t="n"/>
      <c r="B202" s="5" t="n"/>
      <c r="C202" s="5" t="n"/>
      <c r="D202" s="5" t="n"/>
      <c r="E202" s="10" t="n"/>
      <c r="F202" s="11" t="n"/>
      <c r="G202" s="12" t="n"/>
      <c r="H202" s="12" t="n"/>
      <c r="I202" s="13">
        <f>IFERROR(INDEX(TICKETS_DATASET!$G$2:$G$301,MATCH($A202,TICKETS_DATASET!$A$2:$A$301,0)),"")</f>
        <v/>
      </c>
      <c r="J202" s="13">
        <f>IFERROR(INDEX(TICKETS_DATASET!$D$2:$D$301,MATCH($A202,TICKETS_DATASET!$A$2:$A$301,0)),"")</f>
        <v/>
      </c>
      <c r="K202" s="13">
        <f>IFERROR(INDEX(TICKETS_DATASET!$E$2:$E$301,MATCH($A202,TICKETS_DATASET!$A$2:$A$301,0)),"")</f>
        <v/>
      </c>
      <c r="L202" s="14">
        <f>IF($A202="","",IF($B202=$I202,1,0))</f>
        <v/>
      </c>
      <c r="M202" s="14">
        <f>IF($A202="","",IF(AND($C202=$J202,$D202=$K202),1,0))</f>
        <v/>
      </c>
      <c r="N202" s="14">
        <f>IF($A202="","",IFERROR(IF(INDEX(TICKETS_DATASET!$J$2:$J$301,MATCH($A202,TICKETS_DATASET!$A$2:$A$301,0))="ambigu",1,0),0))</f>
        <v/>
      </c>
      <c r="O202" s="14">
        <f>IF($A202="","",IF(OR($G202&lt;&gt;"",$L202=0,$M202=0),1,0))</f>
        <v/>
      </c>
    </row>
    <row r="203" ht="34" customHeight="1">
      <c r="A203" s="5" t="n"/>
      <c r="B203" s="5" t="n"/>
      <c r="C203" s="5" t="n"/>
      <c r="D203" s="5" t="n"/>
      <c r="E203" s="10" t="n"/>
      <c r="F203" s="11" t="n"/>
      <c r="G203" s="12" t="n"/>
      <c r="H203" s="12" t="n"/>
      <c r="I203" s="13">
        <f>IFERROR(INDEX(TICKETS_DATASET!$G$2:$G$301,MATCH($A203,TICKETS_DATASET!$A$2:$A$301,0)),"")</f>
        <v/>
      </c>
      <c r="J203" s="13">
        <f>IFERROR(INDEX(TICKETS_DATASET!$D$2:$D$301,MATCH($A203,TICKETS_DATASET!$A$2:$A$301,0)),"")</f>
        <v/>
      </c>
      <c r="K203" s="13">
        <f>IFERROR(INDEX(TICKETS_DATASET!$E$2:$E$301,MATCH($A203,TICKETS_DATASET!$A$2:$A$301,0)),"")</f>
        <v/>
      </c>
      <c r="L203" s="14">
        <f>IF($A203="","",IF($B203=$I203,1,0))</f>
        <v/>
      </c>
      <c r="M203" s="14">
        <f>IF($A203="","",IF(AND($C203=$J203,$D203=$K203),1,0))</f>
        <v/>
      </c>
      <c r="N203" s="14">
        <f>IF($A203="","",IFERROR(IF(INDEX(TICKETS_DATASET!$J$2:$J$301,MATCH($A203,TICKETS_DATASET!$A$2:$A$301,0))="ambigu",1,0),0))</f>
        <v/>
      </c>
      <c r="O203" s="14">
        <f>IF($A203="","",IF(OR($G203&lt;&gt;"",$L203=0,$M203=0),1,0))</f>
        <v/>
      </c>
    </row>
    <row r="204" ht="34" customHeight="1">
      <c r="A204" s="5" t="n"/>
      <c r="B204" s="5" t="n"/>
      <c r="C204" s="5" t="n"/>
      <c r="D204" s="5" t="n"/>
      <c r="E204" s="10" t="n"/>
      <c r="F204" s="11" t="n"/>
      <c r="G204" s="12" t="n"/>
      <c r="H204" s="12" t="n"/>
      <c r="I204" s="13">
        <f>IFERROR(INDEX(TICKETS_DATASET!$G$2:$G$301,MATCH($A204,TICKETS_DATASET!$A$2:$A$301,0)),"")</f>
        <v/>
      </c>
      <c r="J204" s="13">
        <f>IFERROR(INDEX(TICKETS_DATASET!$D$2:$D$301,MATCH($A204,TICKETS_DATASET!$A$2:$A$301,0)),"")</f>
        <v/>
      </c>
      <c r="K204" s="13">
        <f>IFERROR(INDEX(TICKETS_DATASET!$E$2:$E$301,MATCH($A204,TICKETS_DATASET!$A$2:$A$301,0)),"")</f>
        <v/>
      </c>
      <c r="L204" s="14">
        <f>IF($A204="","",IF($B204=$I204,1,0))</f>
        <v/>
      </c>
      <c r="M204" s="14">
        <f>IF($A204="","",IF(AND($C204=$J204,$D204=$K204),1,0))</f>
        <v/>
      </c>
      <c r="N204" s="14">
        <f>IF($A204="","",IFERROR(IF(INDEX(TICKETS_DATASET!$J$2:$J$301,MATCH($A204,TICKETS_DATASET!$A$2:$A$301,0))="ambigu",1,0),0))</f>
        <v/>
      </c>
      <c r="O204" s="14">
        <f>IF($A204="","",IF(OR($G204&lt;&gt;"",$L204=0,$M204=0),1,0))</f>
        <v/>
      </c>
    </row>
    <row r="205" ht="34" customHeight="1">
      <c r="A205" s="5" t="n"/>
      <c r="B205" s="5" t="n"/>
      <c r="C205" s="5" t="n"/>
      <c r="D205" s="5" t="n"/>
      <c r="E205" s="10" t="n"/>
      <c r="F205" s="11" t="n"/>
      <c r="G205" s="12" t="n"/>
      <c r="H205" s="12" t="n"/>
      <c r="I205" s="13">
        <f>IFERROR(INDEX(TICKETS_DATASET!$G$2:$G$301,MATCH($A205,TICKETS_DATASET!$A$2:$A$301,0)),"")</f>
        <v/>
      </c>
      <c r="J205" s="13">
        <f>IFERROR(INDEX(TICKETS_DATASET!$D$2:$D$301,MATCH($A205,TICKETS_DATASET!$A$2:$A$301,0)),"")</f>
        <v/>
      </c>
      <c r="K205" s="13">
        <f>IFERROR(INDEX(TICKETS_DATASET!$E$2:$E$301,MATCH($A205,TICKETS_DATASET!$A$2:$A$301,0)),"")</f>
        <v/>
      </c>
      <c r="L205" s="14">
        <f>IF($A205="","",IF($B205=$I205,1,0))</f>
        <v/>
      </c>
      <c r="M205" s="14">
        <f>IF($A205="","",IF(AND($C205=$J205,$D205=$K205),1,0))</f>
        <v/>
      </c>
      <c r="N205" s="14">
        <f>IF($A205="","",IFERROR(IF(INDEX(TICKETS_DATASET!$J$2:$J$301,MATCH($A205,TICKETS_DATASET!$A$2:$A$301,0))="ambigu",1,0),0))</f>
        <v/>
      </c>
      <c r="O205" s="14">
        <f>IF($A205="","",IF(OR($G205&lt;&gt;"",$L205=0,$M205=0),1,0))</f>
        <v/>
      </c>
    </row>
    <row r="206" ht="34" customHeight="1">
      <c r="A206" s="5" t="n"/>
      <c r="B206" s="5" t="n"/>
      <c r="C206" s="5" t="n"/>
      <c r="D206" s="5" t="n"/>
      <c r="E206" s="10" t="n"/>
      <c r="F206" s="11" t="n"/>
      <c r="G206" s="12" t="n"/>
      <c r="H206" s="12" t="n"/>
      <c r="I206" s="13">
        <f>IFERROR(INDEX(TICKETS_DATASET!$G$2:$G$301,MATCH($A206,TICKETS_DATASET!$A$2:$A$301,0)),"")</f>
        <v/>
      </c>
      <c r="J206" s="13">
        <f>IFERROR(INDEX(TICKETS_DATASET!$D$2:$D$301,MATCH($A206,TICKETS_DATASET!$A$2:$A$301,0)),"")</f>
        <v/>
      </c>
      <c r="K206" s="13">
        <f>IFERROR(INDEX(TICKETS_DATASET!$E$2:$E$301,MATCH($A206,TICKETS_DATASET!$A$2:$A$301,0)),"")</f>
        <v/>
      </c>
      <c r="L206" s="14">
        <f>IF($A206="","",IF($B206=$I206,1,0))</f>
        <v/>
      </c>
      <c r="M206" s="14">
        <f>IF($A206="","",IF(AND($C206=$J206,$D206=$K206),1,0))</f>
        <v/>
      </c>
      <c r="N206" s="14">
        <f>IF($A206="","",IFERROR(IF(INDEX(TICKETS_DATASET!$J$2:$J$301,MATCH($A206,TICKETS_DATASET!$A$2:$A$301,0))="ambigu",1,0),0))</f>
        <v/>
      </c>
      <c r="O206" s="14">
        <f>IF($A206="","",IF(OR($G206&lt;&gt;"",$L206=0,$M206=0),1,0))</f>
        <v/>
      </c>
    </row>
    <row r="207" ht="34" customHeight="1">
      <c r="A207" s="5" t="n"/>
      <c r="B207" s="5" t="n"/>
      <c r="C207" s="5" t="n"/>
      <c r="D207" s="5" t="n"/>
      <c r="E207" s="10" t="n"/>
      <c r="F207" s="11" t="n"/>
      <c r="G207" s="12" t="n"/>
      <c r="H207" s="12" t="n"/>
      <c r="I207" s="13">
        <f>IFERROR(INDEX(TICKETS_DATASET!$G$2:$G$301,MATCH($A207,TICKETS_DATASET!$A$2:$A$301,0)),"")</f>
        <v/>
      </c>
      <c r="J207" s="13">
        <f>IFERROR(INDEX(TICKETS_DATASET!$D$2:$D$301,MATCH($A207,TICKETS_DATASET!$A$2:$A$301,0)),"")</f>
        <v/>
      </c>
      <c r="K207" s="13">
        <f>IFERROR(INDEX(TICKETS_DATASET!$E$2:$E$301,MATCH($A207,TICKETS_DATASET!$A$2:$A$301,0)),"")</f>
        <v/>
      </c>
      <c r="L207" s="14">
        <f>IF($A207="","",IF($B207=$I207,1,0))</f>
        <v/>
      </c>
      <c r="M207" s="14">
        <f>IF($A207="","",IF(AND($C207=$J207,$D207=$K207),1,0))</f>
        <v/>
      </c>
      <c r="N207" s="14">
        <f>IF($A207="","",IFERROR(IF(INDEX(TICKETS_DATASET!$J$2:$J$301,MATCH($A207,TICKETS_DATASET!$A$2:$A$301,0))="ambigu",1,0),0))</f>
        <v/>
      </c>
      <c r="O207" s="14">
        <f>IF($A207="","",IF(OR($G207&lt;&gt;"",$L207=0,$M207=0),1,0))</f>
        <v/>
      </c>
    </row>
    <row r="208" ht="34" customHeight="1">
      <c r="A208" s="5" t="n"/>
      <c r="B208" s="5" t="n"/>
      <c r="C208" s="5" t="n"/>
      <c r="D208" s="5" t="n"/>
      <c r="E208" s="10" t="n"/>
      <c r="F208" s="11" t="n"/>
      <c r="G208" s="12" t="n"/>
      <c r="H208" s="12" t="n"/>
      <c r="I208" s="13">
        <f>IFERROR(INDEX(TICKETS_DATASET!$G$2:$G$301,MATCH($A208,TICKETS_DATASET!$A$2:$A$301,0)),"")</f>
        <v/>
      </c>
      <c r="J208" s="13">
        <f>IFERROR(INDEX(TICKETS_DATASET!$D$2:$D$301,MATCH($A208,TICKETS_DATASET!$A$2:$A$301,0)),"")</f>
        <v/>
      </c>
      <c r="K208" s="13">
        <f>IFERROR(INDEX(TICKETS_DATASET!$E$2:$E$301,MATCH($A208,TICKETS_DATASET!$A$2:$A$301,0)),"")</f>
        <v/>
      </c>
      <c r="L208" s="14">
        <f>IF($A208="","",IF($B208=$I208,1,0))</f>
        <v/>
      </c>
      <c r="M208" s="14">
        <f>IF($A208="","",IF(AND($C208=$J208,$D208=$K208),1,0))</f>
        <v/>
      </c>
      <c r="N208" s="14">
        <f>IF($A208="","",IFERROR(IF(INDEX(TICKETS_DATASET!$J$2:$J$301,MATCH($A208,TICKETS_DATASET!$A$2:$A$301,0))="ambigu",1,0),0))</f>
        <v/>
      </c>
      <c r="O208" s="14">
        <f>IF($A208="","",IF(OR($G208&lt;&gt;"",$L208=0,$M208=0),1,0))</f>
        <v/>
      </c>
    </row>
    <row r="209" ht="34" customHeight="1">
      <c r="A209" s="5" t="n"/>
      <c r="B209" s="5" t="n"/>
      <c r="C209" s="5" t="n"/>
      <c r="D209" s="5" t="n"/>
      <c r="E209" s="10" t="n"/>
      <c r="F209" s="11" t="n"/>
      <c r="G209" s="12" t="n"/>
      <c r="H209" s="12" t="n"/>
      <c r="I209" s="13">
        <f>IFERROR(INDEX(TICKETS_DATASET!$G$2:$G$301,MATCH($A209,TICKETS_DATASET!$A$2:$A$301,0)),"")</f>
        <v/>
      </c>
      <c r="J209" s="13">
        <f>IFERROR(INDEX(TICKETS_DATASET!$D$2:$D$301,MATCH($A209,TICKETS_DATASET!$A$2:$A$301,0)),"")</f>
        <v/>
      </c>
      <c r="K209" s="13">
        <f>IFERROR(INDEX(TICKETS_DATASET!$E$2:$E$301,MATCH($A209,TICKETS_DATASET!$A$2:$A$301,0)),"")</f>
        <v/>
      </c>
      <c r="L209" s="14">
        <f>IF($A209="","",IF($B209=$I209,1,0))</f>
        <v/>
      </c>
      <c r="M209" s="14">
        <f>IF($A209="","",IF(AND($C209=$J209,$D209=$K209),1,0))</f>
        <v/>
      </c>
      <c r="N209" s="14">
        <f>IF($A209="","",IFERROR(IF(INDEX(TICKETS_DATASET!$J$2:$J$301,MATCH($A209,TICKETS_DATASET!$A$2:$A$301,0))="ambigu",1,0),0))</f>
        <v/>
      </c>
      <c r="O209" s="14">
        <f>IF($A209="","",IF(OR($G209&lt;&gt;"",$L209=0,$M209=0),1,0))</f>
        <v/>
      </c>
    </row>
    <row r="210" ht="34" customHeight="1">
      <c r="A210" s="5" t="n"/>
      <c r="B210" s="5" t="n"/>
      <c r="C210" s="5" t="n"/>
      <c r="D210" s="5" t="n"/>
      <c r="E210" s="10" t="n"/>
      <c r="F210" s="11" t="n"/>
      <c r="G210" s="12" t="n"/>
      <c r="H210" s="12" t="n"/>
      <c r="I210" s="13">
        <f>IFERROR(INDEX(TICKETS_DATASET!$G$2:$G$301,MATCH($A210,TICKETS_DATASET!$A$2:$A$301,0)),"")</f>
        <v/>
      </c>
      <c r="J210" s="13">
        <f>IFERROR(INDEX(TICKETS_DATASET!$D$2:$D$301,MATCH($A210,TICKETS_DATASET!$A$2:$A$301,0)),"")</f>
        <v/>
      </c>
      <c r="K210" s="13">
        <f>IFERROR(INDEX(TICKETS_DATASET!$E$2:$E$301,MATCH($A210,TICKETS_DATASET!$A$2:$A$301,0)),"")</f>
        <v/>
      </c>
      <c r="L210" s="14">
        <f>IF($A210="","",IF($B210=$I210,1,0))</f>
        <v/>
      </c>
      <c r="M210" s="14">
        <f>IF($A210="","",IF(AND($C210=$J210,$D210=$K210),1,0))</f>
        <v/>
      </c>
      <c r="N210" s="14">
        <f>IF($A210="","",IFERROR(IF(INDEX(TICKETS_DATASET!$J$2:$J$301,MATCH($A210,TICKETS_DATASET!$A$2:$A$301,0))="ambigu",1,0),0))</f>
        <v/>
      </c>
      <c r="O210" s="14">
        <f>IF($A210="","",IF(OR($G210&lt;&gt;"",$L210=0,$M210=0),1,0))</f>
        <v/>
      </c>
    </row>
    <row r="211" ht="34" customHeight="1">
      <c r="A211" s="5" t="n"/>
      <c r="B211" s="5" t="n"/>
      <c r="C211" s="5" t="n"/>
      <c r="D211" s="5" t="n"/>
      <c r="E211" s="10" t="n"/>
      <c r="F211" s="11" t="n"/>
      <c r="G211" s="12" t="n"/>
      <c r="H211" s="12" t="n"/>
      <c r="I211" s="13">
        <f>IFERROR(INDEX(TICKETS_DATASET!$G$2:$G$301,MATCH($A211,TICKETS_DATASET!$A$2:$A$301,0)),"")</f>
        <v/>
      </c>
      <c r="J211" s="13">
        <f>IFERROR(INDEX(TICKETS_DATASET!$D$2:$D$301,MATCH($A211,TICKETS_DATASET!$A$2:$A$301,0)),"")</f>
        <v/>
      </c>
      <c r="K211" s="13">
        <f>IFERROR(INDEX(TICKETS_DATASET!$E$2:$E$301,MATCH($A211,TICKETS_DATASET!$A$2:$A$301,0)),"")</f>
        <v/>
      </c>
      <c r="L211" s="14">
        <f>IF($A211="","",IF($B211=$I211,1,0))</f>
        <v/>
      </c>
      <c r="M211" s="14">
        <f>IF($A211="","",IF(AND($C211=$J211,$D211=$K211),1,0))</f>
        <v/>
      </c>
      <c r="N211" s="14">
        <f>IF($A211="","",IFERROR(IF(INDEX(TICKETS_DATASET!$J$2:$J$301,MATCH($A211,TICKETS_DATASET!$A$2:$A$301,0))="ambigu",1,0),0))</f>
        <v/>
      </c>
      <c r="O211" s="14">
        <f>IF($A211="","",IF(OR($G211&lt;&gt;"",$L211=0,$M211=0),1,0))</f>
        <v/>
      </c>
    </row>
    <row r="212" ht="34" customHeight="1">
      <c r="A212" s="5" t="n"/>
      <c r="B212" s="5" t="n"/>
      <c r="C212" s="5" t="n"/>
      <c r="D212" s="5" t="n"/>
      <c r="E212" s="10" t="n"/>
      <c r="F212" s="11" t="n"/>
      <c r="G212" s="12" t="n"/>
      <c r="H212" s="12" t="n"/>
      <c r="I212" s="13">
        <f>IFERROR(INDEX(TICKETS_DATASET!$G$2:$G$301,MATCH($A212,TICKETS_DATASET!$A$2:$A$301,0)),"")</f>
        <v/>
      </c>
      <c r="J212" s="13">
        <f>IFERROR(INDEX(TICKETS_DATASET!$D$2:$D$301,MATCH($A212,TICKETS_DATASET!$A$2:$A$301,0)),"")</f>
        <v/>
      </c>
      <c r="K212" s="13">
        <f>IFERROR(INDEX(TICKETS_DATASET!$E$2:$E$301,MATCH($A212,TICKETS_DATASET!$A$2:$A$301,0)),"")</f>
        <v/>
      </c>
      <c r="L212" s="14">
        <f>IF($A212="","",IF($B212=$I212,1,0))</f>
        <v/>
      </c>
      <c r="M212" s="14">
        <f>IF($A212="","",IF(AND($C212=$J212,$D212=$K212),1,0))</f>
        <v/>
      </c>
      <c r="N212" s="14">
        <f>IF($A212="","",IFERROR(IF(INDEX(TICKETS_DATASET!$J$2:$J$301,MATCH($A212,TICKETS_DATASET!$A$2:$A$301,0))="ambigu",1,0),0))</f>
        <v/>
      </c>
      <c r="O212" s="14">
        <f>IF($A212="","",IF(OR($G212&lt;&gt;"",$L212=0,$M212=0),1,0))</f>
        <v/>
      </c>
    </row>
    <row r="213" ht="34" customHeight="1">
      <c r="A213" s="5" t="n"/>
      <c r="B213" s="5" t="n"/>
      <c r="C213" s="5" t="n"/>
      <c r="D213" s="5" t="n"/>
      <c r="E213" s="10" t="n"/>
      <c r="F213" s="11" t="n"/>
      <c r="G213" s="12" t="n"/>
      <c r="H213" s="12" t="n"/>
      <c r="I213" s="13">
        <f>IFERROR(INDEX(TICKETS_DATASET!$G$2:$G$301,MATCH($A213,TICKETS_DATASET!$A$2:$A$301,0)),"")</f>
        <v/>
      </c>
      <c r="J213" s="13">
        <f>IFERROR(INDEX(TICKETS_DATASET!$D$2:$D$301,MATCH($A213,TICKETS_DATASET!$A$2:$A$301,0)),"")</f>
        <v/>
      </c>
      <c r="K213" s="13">
        <f>IFERROR(INDEX(TICKETS_DATASET!$E$2:$E$301,MATCH($A213,TICKETS_DATASET!$A$2:$A$301,0)),"")</f>
        <v/>
      </c>
      <c r="L213" s="14">
        <f>IF($A213="","",IF($B213=$I213,1,0))</f>
        <v/>
      </c>
      <c r="M213" s="14">
        <f>IF($A213="","",IF(AND($C213=$J213,$D213=$K213),1,0))</f>
        <v/>
      </c>
      <c r="N213" s="14">
        <f>IF($A213="","",IFERROR(IF(INDEX(TICKETS_DATASET!$J$2:$J$301,MATCH($A213,TICKETS_DATASET!$A$2:$A$301,0))="ambigu",1,0),0))</f>
        <v/>
      </c>
      <c r="O213" s="14">
        <f>IF($A213="","",IF(OR($G213&lt;&gt;"",$L213=0,$M213=0),1,0))</f>
        <v/>
      </c>
    </row>
    <row r="214" ht="34" customHeight="1">
      <c r="A214" s="5" t="n"/>
      <c r="B214" s="5" t="n"/>
      <c r="C214" s="5" t="n"/>
      <c r="D214" s="5" t="n"/>
      <c r="E214" s="10" t="n"/>
      <c r="F214" s="11" t="n"/>
      <c r="G214" s="12" t="n"/>
      <c r="H214" s="12" t="n"/>
      <c r="I214" s="13">
        <f>IFERROR(INDEX(TICKETS_DATASET!$G$2:$G$301,MATCH($A214,TICKETS_DATASET!$A$2:$A$301,0)),"")</f>
        <v/>
      </c>
      <c r="J214" s="13">
        <f>IFERROR(INDEX(TICKETS_DATASET!$D$2:$D$301,MATCH($A214,TICKETS_DATASET!$A$2:$A$301,0)),"")</f>
        <v/>
      </c>
      <c r="K214" s="13">
        <f>IFERROR(INDEX(TICKETS_DATASET!$E$2:$E$301,MATCH($A214,TICKETS_DATASET!$A$2:$A$301,0)),"")</f>
        <v/>
      </c>
      <c r="L214" s="14">
        <f>IF($A214="","",IF($B214=$I214,1,0))</f>
        <v/>
      </c>
      <c r="M214" s="14">
        <f>IF($A214="","",IF(AND($C214=$J214,$D214=$K214),1,0))</f>
        <v/>
      </c>
      <c r="N214" s="14">
        <f>IF($A214="","",IFERROR(IF(INDEX(TICKETS_DATASET!$J$2:$J$301,MATCH($A214,TICKETS_DATASET!$A$2:$A$301,0))="ambigu",1,0),0))</f>
        <v/>
      </c>
      <c r="O214" s="14">
        <f>IF($A214="","",IF(OR($G214&lt;&gt;"",$L214=0,$M214=0),1,0))</f>
        <v/>
      </c>
    </row>
    <row r="215" ht="34" customHeight="1">
      <c r="A215" s="5" t="n"/>
      <c r="B215" s="5" t="n"/>
      <c r="C215" s="5" t="n"/>
      <c r="D215" s="5" t="n"/>
      <c r="E215" s="10" t="n"/>
      <c r="F215" s="11" t="n"/>
      <c r="G215" s="12" t="n"/>
      <c r="H215" s="12" t="n"/>
      <c r="I215" s="13">
        <f>IFERROR(INDEX(TICKETS_DATASET!$G$2:$G$301,MATCH($A215,TICKETS_DATASET!$A$2:$A$301,0)),"")</f>
        <v/>
      </c>
      <c r="J215" s="13">
        <f>IFERROR(INDEX(TICKETS_DATASET!$D$2:$D$301,MATCH($A215,TICKETS_DATASET!$A$2:$A$301,0)),"")</f>
        <v/>
      </c>
      <c r="K215" s="13">
        <f>IFERROR(INDEX(TICKETS_DATASET!$E$2:$E$301,MATCH($A215,TICKETS_DATASET!$A$2:$A$301,0)),"")</f>
        <v/>
      </c>
      <c r="L215" s="14">
        <f>IF($A215="","",IF($B215=$I215,1,0))</f>
        <v/>
      </c>
      <c r="M215" s="14">
        <f>IF($A215="","",IF(AND($C215=$J215,$D215=$K215),1,0))</f>
        <v/>
      </c>
      <c r="N215" s="14">
        <f>IF($A215="","",IFERROR(IF(INDEX(TICKETS_DATASET!$J$2:$J$301,MATCH($A215,TICKETS_DATASET!$A$2:$A$301,0))="ambigu",1,0),0))</f>
        <v/>
      </c>
      <c r="O215" s="14">
        <f>IF($A215="","",IF(OR($G215&lt;&gt;"",$L215=0,$M215=0),1,0))</f>
        <v/>
      </c>
    </row>
    <row r="216" ht="34" customHeight="1">
      <c r="A216" s="5" t="n"/>
      <c r="B216" s="5" t="n"/>
      <c r="C216" s="5" t="n"/>
      <c r="D216" s="5" t="n"/>
      <c r="E216" s="10" t="n"/>
      <c r="F216" s="11" t="n"/>
      <c r="G216" s="12" t="n"/>
      <c r="H216" s="12" t="n"/>
      <c r="I216" s="13">
        <f>IFERROR(INDEX(TICKETS_DATASET!$G$2:$G$301,MATCH($A216,TICKETS_DATASET!$A$2:$A$301,0)),"")</f>
        <v/>
      </c>
      <c r="J216" s="13">
        <f>IFERROR(INDEX(TICKETS_DATASET!$D$2:$D$301,MATCH($A216,TICKETS_DATASET!$A$2:$A$301,0)),"")</f>
        <v/>
      </c>
      <c r="K216" s="13">
        <f>IFERROR(INDEX(TICKETS_DATASET!$E$2:$E$301,MATCH($A216,TICKETS_DATASET!$A$2:$A$301,0)),"")</f>
        <v/>
      </c>
      <c r="L216" s="14">
        <f>IF($A216="","",IF($B216=$I216,1,0))</f>
        <v/>
      </c>
      <c r="M216" s="14">
        <f>IF($A216="","",IF(AND($C216=$J216,$D216=$K216),1,0))</f>
        <v/>
      </c>
      <c r="N216" s="14">
        <f>IF($A216="","",IFERROR(IF(INDEX(TICKETS_DATASET!$J$2:$J$301,MATCH($A216,TICKETS_DATASET!$A$2:$A$301,0))="ambigu",1,0),0))</f>
        <v/>
      </c>
      <c r="O216" s="14">
        <f>IF($A216="","",IF(OR($G216&lt;&gt;"",$L216=0,$M216=0),1,0))</f>
        <v/>
      </c>
    </row>
    <row r="217" ht="34" customHeight="1">
      <c r="A217" s="5" t="n"/>
      <c r="B217" s="5" t="n"/>
      <c r="C217" s="5" t="n"/>
      <c r="D217" s="5" t="n"/>
      <c r="E217" s="10" t="n"/>
      <c r="F217" s="11" t="n"/>
      <c r="G217" s="12" t="n"/>
      <c r="H217" s="12" t="n"/>
      <c r="I217" s="13">
        <f>IFERROR(INDEX(TICKETS_DATASET!$G$2:$G$301,MATCH($A217,TICKETS_DATASET!$A$2:$A$301,0)),"")</f>
        <v/>
      </c>
      <c r="J217" s="13">
        <f>IFERROR(INDEX(TICKETS_DATASET!$D$2:$D$301,MATCH($A217,TICKETS_DATASET!$A$2:$A$301,0)),"")</f>
        <v/>
      </c>
      <c r="K217" s="13">
        <f>IFERROR(INDEX(TICKETS_DATASET!$E$2:$E$301,MATCH($A217,TICKETS_DATASET!$A$2:$A$301,0)),"")</f>
        <v/>
      </c>
      <c r="L217" s="14">
        <f>IF($A217="","",IF($B217=$I217,1,0))</f>
        <v/>
      </c>
      <c r="M217" s="14">
        <f>IF($A217="","",IF(AND($C217=$J217,$D217=$K217),1,0))</f>
        <v/>
      </c>
      <c r="N217" s="14">
        <f>IF($A217="","",IFERROR(IF(INDEX(TICKETS_DATASET!$J$2:$J$301,MATCH($A217,TICKETS_DATASET!$A$2:$A$301,0))="ambigu",1,0),0))</f>
        <v/>
      </c>
      <c r="O217" s="14">
        <f>IF($A217="","",IF(OR($G217&lt;&gt;"",$L217=0,$M217=0),1,0))</f>
        <v/>
      </c>
    </row>
    <row r="218" ht="34" customHeight="1">
      <c r="A218" s="5" t="n"/>
      <c r="B218" s="5" t="n"/>
      <c r="C218" s="5" t="n"/>
      <c r="D218" s="5" t="n"/>
      <c r="E218" s="10" t="n"/>
      <c r="F218" s="11" t="n"/>
      <c r="G218" s="12" t="n"/>
      <c r="H218" s="12" t="n"/>
      <c r="I218" s="13">
        <f>IFERROR(INDEX(TICKETS_DATASET!$G$2:$G$301,MATCH($A218,TICKETS_DATASET!$A$2:$A$301,0)),"")</f>
        <v/>
      </c>
      <c r="J218" s="13">
        <f>IFERROR(INDEX(TICKETS_DATASET!$D$2:$D$301,MATCH($A218,TICKETS_DATASET!$A$2:$A$301,0)),"")</f>
        <v/>
      </c>
      <c r="K218" s="13">
        <f>IFERROR(INDEX(TICKETS_DATASET!$E$2:$E$301,MATCH($A218,TICKETS_DATASET!$A$2:$A$301,0)),"")</f>
        <v/>
      </c>
      <c r="L218" s="14">
        <f>IF($A218="","",IF($B218=$I218,1,0))</f>
        <v/>
      </c>
      <c r="M218" s="14">
        <f>IF($A218="","",IF(AND($C218=$J218,$D218=$K218),1,0))</f>
        <v/>
      </c>
      <c r="N218" s="14">
        <f>IF($A218="","",IFERROR(IF(INDEX(TICKETS_DATASET!$J$2:$J$301,MATCH($A218,TICKETS_DATASET!$A$2:$A$301,0))="ambigu",1,0),0))</f>
        <v/>
      </c>
      <c r="O218" s="14">
        <f>IF($A218="","",IF(OR($G218&lt;&gt;"",$L218=0,$M218=0),1,0))</f>
        <v/>
      </c>
    </row>
    <row r="219" ht="34" customHeight="1">
      <c r="A219" s="5" t="n"/>
      <c r="B219" s="5" t="n"/>
      <c r="C219" s="5" t="n"/>
      <c r="D219" s="5" t="n"/>
      <c r="E219" s="10" t="n"/>
      <c r="F219" s="11" t="n"/>
      <c r="G219" s="12" t="n"/>
      <c r="H219" s="12" t="n"/>
      <c r="I219" s="13">
        <f>IFERROR(INDEX(TICKETS_DATASET!$G$2:$G$301,MATCH($A219,TICKETS_DATASET!$A$2:$A$301,0)),"")</f>
        <v/>
      </c>
      <c r="J219" s="13">
        <f>IFERROR(INDEX(TICKETS_DATASET!$D$2:$D$301,MATCH($A219,TICKETS_DATASET!$A$2:$A$301,0)),"")</f>
        <v/>
      </c>
      <c r="K219" s="13">
        <f>IFERROR(INDEX(TICKETS_DATASET!$E$2:$E$301,MATCH($A219,TICKETS_DATASET!$A$2:$A$301,0)),"")</f>
        <v/>
      </c>
      <c r="L219" s="14">
        <f>IF($A219="","",IF($B219=$I219,1,0))</f>
        <v/>
      </c>
      <c r="M219" s="14">
        <f>IF($A219="","",IF(AND($C219=$J219,$D219=$K219),1,0))</f>
        <v/>
      </c>
      <c r="N219" s="14">
        <f>IF($A219="","",IFERROR(IF(INDEX(TICKETS_DATASET!$J$2:$J$301,MATCH($A219,TICKETS_DATASET!$A$2:$A$301,0))="ambigu",1,0),0))</f>
        <v/>
      </c>
      <c r="O219" s="14">
        <f>IF($A219="","",IF(OR($G219&lt;&gt;"",$L219=0,$M219=0),1,0))</f>
        <v/>
      </c>
    </row>
    <row r="220" ht="34" customHeight="1">
      <c r="A220" s="5" t="n"/>
      <c r="B220" s="5" t="n"/>
      <c r="C220" s="5" t="n"/>
      <c r="D220" s="5" t="n"/>
      <c r="E220" s="10" t="n"/>
      <c r="F220" s="11" t="n"/>
      <c r="G220" s="12" t="n"/>
      <c r="H220" s="12" t="n"/>
      <c r="I220" s="13">
        <f>IFERROR(INDEX(TICKETS_DATASET!$G$2:$G$301,MATCH($A220,TICKETS_DATASET!$A$2:$A$301,0)),"")</f>
        <v/>
      </c>
      <c r="J220" s="13">
        <f>IFERROR(INDEX(TICKETS_DATASET!$D$2:$D$301,MATCH($A220,TICKETS_DATASET!$A$2:$A$301,0)),"")</f>
        <v/>
      </c>
      <c r="K220" s="13">
        <f>IFERROR(INDEX(TICKETS_DATASET!$E$2:$E$301,MATCH($A220,TICKETS_DATASET!$A$2:$A$301,0)),"")</f>
        <v/>
      </c>
      <c r="L220" s="14">
        <f>IF($A220="","",IF($B220=$I220,1,0))</f>
        <v/>
      </c>
      <c r="M220" s="14">
        <f>IF($A220="","",IF(AND($C220=$J220,$D220=$K220),1,0))</f>
        <v/>
      </c>
      <c r="N220" s="14">
        <f>IF($A220="","",IFERROR(IF(INDEX(TICKETS_DATASET!$J$2:$J$301,MATCH($A220,TICKETS_DATASET!$A$2:$A$301,0))="ambigu",1,0),0))</f>
        <v/>
      </c>
      <c r="O220" s="14">
        <f>IF($A220="","",IF(OR($G220&lt;&gt;"",$L220=0,$M220=0),1,0))</f>
        <v/>
      </c>
    </row>
    <row r="221" ht="34" customHeight="1">
      <c r="A221" s="5" t="n"/>
      <c r="B221" s="5" t="n"/>
      <c r="C221" s="5" t="n"/>
      <c r="D221" s="5" t="n"/>
      <c r="E221" s="10" t="n"/>
      <c r="F221" s="11" t="n"/>
      <c r="G221" s="12" t="n"/>
      <c r="H221" s="12" t="n"/>
      <c r="I221" s="13">
        <f>IFERROR(INDEX(TICKETS_DATASET!$G$2:$G$301,MATCH($A221,TICKETS_DATASET!$A$2:$A$301,0)),"")</f>
        <v/>
      </c>
      <c r="J221" s="13">
        <f>IFERROR(INDEX(TICKETS_DATASET!$D$2:$D$301,MATCH($A221,TICKETS_DATASET!$A$2:$A$301,0)),"")</f>
        <v/>
      </c>
      <c r="K221" s="13">
        <f>IFERROR(INDEX(TICKETS_DATASET!$E$2:$E$301,MATCH($A221,TICKETS_DATASET!$A$2:$A$301,0)),"")</f>
        <v/>
      </c>
      <c r="L221" s="14">
        <f>IF($A221="","",IF($B221=$I221,1,0))</f>
        <v/>
      </c>
      <c r="M221" s="14">
        <f>IF($A221="","",IF(AND($C221=$J221,$D221=$K221),1,0))</f>
        <v/>
      </c>
      <c r="N221" s="14">
        <f>IF($A221="","",IFERROR(IF(INDEX(TICKETS_DATASET!$J$2:$J$301,MATCH($A221,TICKETS_DATASET!$A$2:$A$301,0))="ambigu",1,0),0))</f>
        <v/>
      </c>
      <c r="O221" s="14">
        <f>IF($A221="","",IF(OR($G221&lt;&gt;"",$L221=0,$M221=0),1,0))</f>
        <v/>
      </c>
    </row>
    <row r="222" ht="34" customHeight="1">
      <c r="A222" s="5" t="n"/>
      <c r="B222" s="5" t="n"/>
      <c r="C222" s="5" t="n"/>
      <c r="D222" s="5" t="n"/>
      <c r="E222" s="10" t="n"/>
      <c r="F222" s="11" t="n"/>
      <c r="G222" s="12" t="n"/>
      <c r="H222" s="12" t="n"/>
      <c r="I222" s="13">
        <f>IFERROR(INDEX(TICKETS_DATASET!$G$2:$G$301,MATCH($A222,TICKETS_DATASET!$A$2:$A$301,0)),"")</f>
        <v/>
      </c>
      <c r="J222" s="13">
        <f>IFERROR(INDEX(TICKETS_DATASET!$D$2:$D$301,MATCH($A222,TICKETS_DATASET!$A$2:$A$301,0)),"")</f>
        <v/>
      </c>
      <c r="K222" s="13">
        <f>IFERROR(INDEX(TICKETS_DATASET!$E$2:$E$301,MATCH($A222,TICKETS_DATASET!$A$2:$A$301,0)),"")</f>
        <v/>
      </c>
      <c r="L222" s="14">
        <f>IF($A222="","",IF($B222=$I222,1,0))</f>
        <v/>
      </c>
      <c r="M222" s="14">
        <f>IF($A222="","",IF(AND($C222=$J222,$D222=$K222),1,0))</f>
        <v/>
      </c>
      <c r="N222" s="14">
        <f>IF($A222="","",IFERROR(IF(INDEX(TICKETS_DATASET!$J$2:$J$301,MATCH($A222,TICKETS_DATASET!$A$2:$A$301,0))="ambigu",1,0),0))</f>
        <v/>
      </c>
      <c r="O222" s="14">
        <f>IF($A222="","",IF(OR($G222&lt;&gt;"",$L222=0,$M222=0),1,0))</f>
        <v/>
      </c>
    </row>
    <row r="223" ht="34" customHeight="1">
      <c r="A223" s="5" t="n"/>
      <c r="B223" s="5" t="n"/>
      <c r="C223" s="5" t="n"/>
      <c r="D223" s="5" t="n"/>
      <c r="E223" s="10" t="n"/>
      <c r="F223" s="11" t="n"/>
      <c r="G223" s="12" t="n"/>
      <c r="H223" s="12" t="n"/>
      <c r="I223" s="13">
        <f>IFERROR(INDEX(TICKETS_DATASET!$G$2:$G$301,MATCH($A223,TICKETS_DATASET!$A$2:$A$301,0)),"")</f>
        <v/>
      </c>
      <c r="J223" s="13">
        <f>IFERROR(INDEX(TICKETS_DATASET!$D$2:$D$301,MATCH($A223,TICKETS_DATASET!$A$2:$A$301,0)),"")</f>
        <v/>
      </c>
      <c r="K223" s="13">
        <f>IFERROR(INDEX(TICKETS_DATASET!$E$2:$E$301,MATCH($A223,TICKETS_DATASET!$A$2:$A$301,0)),"")</f>
        <v/>
      </c>
      <c r="L223" s="14">
        <f>IF($A223="","",IF($B223=$I223,1,0))</f>
        <v/>
      </c>
      <c r="M223" s="14">
        <f>IF($A223="","",IF(AND($C223=$J223,$D223=$K223),1,0))</f>
        <v/>
      </c>
      <c r="N223" s="14">
        <f>IF($A223="","",IFERROR(IF(INDEX(TICKETS_DATASET!$J$2:$J$301,MATCH($A223,TICKETS_DATASET!$A$2:$A$301,0))="ambigu",1,0),0))</f>
        <v/>
      </c>
      <c r="O223" s="14">
        <f>IF($A223="","",IF(OR($G223&lt;&gt;"",$L223=0,$M223=0),1,0))</f>
        <v/>
      </c>
    </row>
    <row r="224" ht="34" customHeight="1">
      <c r="A224" s="5" t="n"/>
      <c r="B224" s="5" t="n"/>
      <c r="C224" s="5" t="n"/>
      <c r="D224" s="5" t="n"/>
      <c r="E224" s="10" t="n"/>
      <c r="F224" s="11" t="n"/>
      <c r="G224" s="12" t="n"/>
      <c r="H224" s="12" t="n"/>
      <c r="I224" s="13">
        <f>IFERROR(INDEX(TICKETS_DATASET!$G$2:$G$301,MATCH($A224,TICKETS_DATASET!$A$2:$A$301,0)),"")</f>
        <v/>
      </c>
      <c r="J224" s="13">
        <f>IFERROR(INDEX(TICKETS_DATASET!$D$2:$D$301,MATCH($A224,TICKETS_DATASET!$A$2:$A$301,0)),"")</f>
        <v/>
      </c>
      <c r="K224" s="13">
        <f>IFERROR(INDEX(TICKETS_DATASET!$E$2:$E$301,MATCH($A224,TICKETS_DATASET!$A$2:$A$301,0)),"")</f>
        <v/>
      </c>
      <c r="L224" s="14">
        <f>IF($A224="","",IF($B224=$I224,1,0))</f>
        <v/>
      </c>
      <c r="M224" s="14">
        <f>IF($A224="","",IF(AND($C224=$J224,$D224=$K224),1,0))</f>
        <v/>
      </c>
      <c r="N224" s="14">
        <f>IF($A224="","",IFERROR(IF(INDEX(TICKETS_DATASET!$J$2:$J$301,MATCH($A224,TICKETS_DATASET!$A$2:$A$301,0))="ambigu",1,0),0))</f>
        <v/>
      </c>
      <c r="O224" s="14">
        <f>IF($A224="","",IF(OR($G224&lt;&gt;"",$L224=0,$M224=0),1,0))</f>
        <v/>
      </c>
    </row>
    <row r="225" ht="34" customHeight="1">
      <c r="A225" s="5" t="n"/>
      <c r="B225" s="5" t="n"/>
      <c r="C225" s="5" t="n"/>
      <c r="D225" s="5" t="n"/>
      <c r="E225" s="10" t="n"/>
      <c r="F225" s="11" t="n"/>
      <c r="G225" s="12" t="n"/>
      <c r="H225" s="12" t="n"/>
      <c r="I225" s="13">
        <f>IFERROR(INDEX(TICKETS_DATASET!$G$2:$G$301,MATCH($A225,TICKETS_DATASET!$A$2:$A$301,0)),"")</f>
        <v/>
      </c>
      <c r="J225" s="13">
        <f>IFERROR(INDEX(TICKETS_DATASET!$D$2:$D$301,MATCH($A225,TICKETS_DATASET!$A$2:$A$301,0)),"")</f>
        <v/>
      </c>
      <c r="K225" s="13">
        <f>IFERROR(INDEX(TICKETS_DATASET!$E$2:$E$301,MATCH($A225,TICKETS_DATASET!$A$2:$A$301,0)),"")</f>
        <v/>
      </c>
      <c r="L225" s="14">
        <f>IF($A225="","",IF($B225=$I225,1,0))</f>
        <v/>
      </c>
      <c r="M225" s="14">
        <f>IF($A225="","",IF(AND($C225=$J225,$D225=$K225),1,0))</f>
        <v/>
      </c>
      <c r="N225" s="14">
        <f>IF($A225="","",IFERROR(IF(INDEX(TICKETS_DATASET!$J$2:$J$301,MATCH($A225,TICKETS_DATASET!$A$2:$A$301,0))="ambigu",1,0),0))</f>
        <v/>
      </c>
      <c r="O225" s="14">
        <f>IF($A225="","",IF(OR($G225&lt;&gt;"",$L225=0,$M225=0),1,0))</f>
        <v/>
      </c>
    </row>
    <row r="226" ht="34" customHeight="1">
      <c r="A226" s="5" t="n"/>
      <c r="B226" s="5" t="n"/>
      <c r="C226" s="5" t="n"/>
      <c r="D226" s="5" t="n"/>
      <c r="E226" s="10" t="n"/>
      <c r="F226" s="11" t="n"/>
      <c r="G226" s="12" t="n"/>
      <c r="H226" s="12" t="n"/>
      <c r="I226" s="13">
        <f>IFERROR(INDEX(TICKETS_DATASET!$G$2:$G$301,MATCH($A226,TICKETS_DATASET!$A$2:$A$301,0)),"")</f>
        <v/>
      </c>
      <c r="J226" s="13">
        <f>IFERROR(INDEX(TICKETS_DATASET!$D$2:$D$301,MATCH($A226,TICKETS_DATASET!$A$2:$A$301,0)),"")</f>
        <v/>
      </c>
      <c r="K226" s="13">
        <f>IFERROR(INDEX(TICKETS_DATASET!$E$2:$E$301,MATCH($A226,TICKETS_DATASET!$A$2:$A$301,0)),"")</f>
        <v/>
      </c>
      <c r="L226" s="14">
        <f>IF($A226="","",IF($B226=$I226,1,0))</f>
        <v/>
      </c>
      <c r="M226" s="14">
        <f>IF($A226="","",IF(AND($C226=$J226,$D226=$K226),1,0))</f>
        <v/>
      </c>
      <c r="N226" s="14">
        <f>IF($A226="","",IFERROR(IF(INDEX(TICKETS_DATASET!$J$2:$J$301,MATCH($A226,TICKETS_DATASET!$A$2:$A$301,0))="ambigu",1,0),0))</f>
        <v/>
      </c>
      <c r="O226" s="14">
        <f>IF($A226="","",IF(OR($G226&lt;&gt;"",$L226=0,$M226=0),1,0))</f>
        <v/>
      </c>
    </row>
    <row r="227" ht="34" customHeight="1">
      <c r="A227" s="5" t="n"/>
      <c r="B227" s="5" t="n"/>
      <c r="C227" s="5" t="n"/>
      <c r="D227" s="5" t="n"/>
      <c r="E227" s="10" t="n"/>
      <c r="F227" s="11" t="n"/>
      <c r="G227" s="12" t="n"/>
      <c r="H227" s="12" t="n"/>
      <c r="I227" s="13">
        <f>IFERROR(INDEX(TICKETS_DATASET!$G$2:$G$301,MATCH($A227,TICKETS_DATASET!$A$2:$A$301,0)),"")</f>
        <v/>
      </c>
      <c r="J227" s="13">
        <f>IFERROR(INDEX(TICKETS_DATASET!$D$2:$D$301,MATCH($A227,TICKETS_DATASET!$A$2:$A$301,0)),"")</f>
        <v/>
      </c>
      <c r="K227" s="13">
        <f>IFERROR(INDEX(TICKETS_DATASET!$E$2:$E$301,MATCH($A227,TICKETS_DATASET!$A$2:$A$301,0)),"")</f>
        <v/>
      </c>
      <c r="L227" s="14">
        <f>IF($A227="","",IF($B227=$I227,1,0))</f>
        <v/>
      </c>
      <c r="M227" s="14">
        <f>IF($A227="","",IF(AND($C227=$J227,$D227=$K227),1,0))</f>
        <v/>
      </c>
      <c r="N227" s="14">
        <f>IF($A227="","",IFERROR(IF(INDEX(TICKETS_DATASET!$J$2:$J$301,MATCH($A227,TICKETS_DATASET!$A$2:$A$301,0))="ambigu",1,0),0))</f>
        <v/>
      </c>
      <c r="O227" s="14">
        <f>IF($A227="","",IF(OR($G227&lt;&gt;"",$L227=0,$M227=0),1,0))</f>
        <v/>
      </c>
    </row>
    <row r="228" ht="34" customHeight="1">
      <c r="A228" s="5" t="n"/>
      <c r="B228" s="5" t="n"/>
      <c r="C228" s="5" t="n"/>
      <c r="D228" s="5" t="n"/>
      <c r="E228" s="10" t="n"/>
      <c r="F228" s="11" t="n"/>
      <c r="G228" s="12" t="n"/>
      <c r="H228" s="12" t="n"/>
      <c r="I228" s="13">
        <f>IFERROR(INDEX(TICKETS_DATASET!$G$2:$G$301,MATCH($A228,TICKETS_DATASET!$A$2:$A$301,0)),"")</f>
        <v/>
      </c>
      <c r="J228" s="13">
        <f>IFERROR(INDEX(TICKETS_DATASET!$D$2:$D$301,MATCH($A228,TICKETS_DATASET!$A$2:$A$301,0)),"")</f>
        <v/>
      </c>
      <c r="K228" s="13">
        <f>IFERROR(INDEX(TICKETS_DATASET!$E$2:$E$301,MATCH($A228,TICKETS_DATASET!$A$2:$A$301,0)),"")</f>
        <v/>
      </c>
      <c r="L228" s="14">
        <f>IF($A228="","",IF($B228=$I228,1,0))</f>
        <v/>
      </c>
      <c r="M228" s="14">
        <f>IF($A228="","",IF(AND($C228=$J228,$D228=$K228),1,0))</f>
        <v/>
      </c>
      <c r="N228" s="14">
        <f>IF($A228="","",IFERROR(IF(INDEX(TICKETS_DATASET!$J$2:$J$301,MATCH($A228,TICKETS_DATASET!$A$2:$A$301,0))="ambigu",1,0),0))</f>
        <v/>
      </c>
      <c r="O228" s="14">
        <f>IF($A228="","",IF(OR($G228&lt;&gt;"",$L228=0,$M228=0),1,0))</f>
        <v/>
      </c>
    </row>
    <row r="229" ht="34" customHeight="1">
      <c r="A229" s="5" t="n"/>
      <c r="B229" s="5" t="n"/>
      <c r="C229" s="5" t="n"/>
      <c r="D229" s="5" t="n"/>
      <c r="E229" s="10" t="n"/>
      <c r="F229" s="11" t="n"/>
      <c r="G229" s="12" t="n"/>
      <c r="H229" s="12" t="n"/>
      <c r="I229" s="13">
        <f>IFERROR(INDEX(TICKETS_DATASET!$G$2:$G$301,MATCH($A229,TICKETS_DATASET!$A$2:$A$301,0)),"")</f>
        <v/>
      </c>
      <c r="J229" s="13">
        <f>IFERROR(INDEX(TICKETS_DATASET!$D$2:$D$301,MATCH($A229,TICKETS_DATASET!$A$2:$A$301,0)),"")</f>
        <v/>
      </c>
      <c r="K229" s="13">
        <f>IFERROR(INDEX(TICKETS_DATASET!$E$2:$E$301,MATCH($A229,TICKETS_DATASET!$A$2:$A$301,0)),"")</f>
        <v/>
      </c>
      <c r="L229" s="14">
        <f>IF($A229="","",IF($B229=$I229,1,0))</f>
        <v/>
      </c>
      <c r="M229" s="14">
        <f>IF($A229="","",IF(AND($C229=$J229,$D229=$K229),1,0))</f>
        <v/>
      </c>
      <c r="N229" s="14">
        <f>IF($A229="","",IFERROR(IF(INDEX(TICKETS_DATASET!$J$2:$J$301,MATCH($A229,TICKETS_DATASET!$A$2:$A$301,0))="ambigu",1,0),0))</f>
        <v/>
      </c>
      <c r="O229" s="14">
        <f>IF($A229="","",IF(OR($G229&lt;&gt;"",$L229=0,$M229=0),1,0))</f>
        <v/>
      </c>
    </row>
    <row r="230" ht="34" customHeight="1">
      <c r="A230" s="5" t="n"/>
      <c r="B230" s="5" t="n"/>
      <c r="C230" s="5" t="n"/>
      <c r="D230" s="5" t="n"/>
      <c r="E230" s="10" t="n"/>
      <c r="F230" s="11" t="n"/>
      <c r="G230" s="12" t="n"/>
      <c r="H230" s="12" t="n"/>
      <c r="I230" s="13">
        <f>IFERROR(INDEX(TICKETS_DATASET!$G$2:$G$301,MATCH($A230,TICKETS_DATASET!$A$2:$A$301,0)),"")</f>
        <v/>
      </c>
      <c r="J230" s="13">
        <f>IFERROR(INDEX(TICKETS_DATASET!$D$2:$D$301,MATCH($A230,TICKETS_DATASET!$A$2:$A$301,0)),"")</f>
        <v/>
      </c>
      <c r="K230" s="13">
        <f>IFERROR(INDEX(TICKETS_DATASET!$E$2:$E$301,MATCH($A230,TICKETS_DATASET!$A$2:$A$301,0)),"")</f>
        <v/>
      </c>
      <c r="L230" s="14">
        <f>IF($A230="","",IF($B230=$I230,1,0))</f>
        <v/>
      </c>
      <c r="M230" s="14">
        <f>IF($A230="","",IF(AND($C230=$J230,$D230=$K230),1,0))</f>
        <v/>
      </c>
      <c r="N230" s="14">
        <f>IF($A230="","",IFERROR(IF(INDEX(TICKETS_DATASET!$J$2:$J$301,MATCH($A230,TICKETS_DATASET!$A$2:$A$301,0))="ambigu",1,0),0))</f>
        <v/>
      </c>
      <c r="O230" s="14">
        <f>IF($A230="","",IF(OR($G230&lt;&gt;"",$L230=0,$M230=0),1,0))</f>
        <v/>
      </c>
    </row>
    <row r="231" ht="34" customHeight="1">
      <c r="A231" s="5" t="n"/>
      <c r="B231" s="5" t="n"/>
      <c r="C231" s="5" t="n"/>
      <c r="D231" s="5" t="n"/>
      <c r="E231" s="10" t="n"/>
      <c r="F231" s="11" t="n"/>
      <c r="G231" s="12" t="n"/>
      <c r="H231" s="12" t="n"/>
      <c r="I231" s="13">
        <f>IFERROR(INDEX(TICKETS_DATASET!$G$2:$G$301,MATCH($A231,TICKETS_DATASET!$A$2:$A$301,0)),"")</f>
        <v/>
      </c>
      <c r="J231" s="13">
        <f>IFERROR(INDEX(TICKETS_DATASET!$D$2:$D$301,MATCH($A231,TICKETS_DATASET!$A$2:$A$301,0)),"")</f>
        <v/>
      </c>
      <c r="K231" s="13">
        <f>IFERROR(INDEX(TICKETS_DATASET!$E$2:$E$301,MATCH($A231,TICKETS_DATASET!$A$2:$A$301,0)),"")</f>
        <v/>
      </c>
      <c r="L231" s="14">
        <f>IF($A231="","",IF($B231=$I231,1,0))</f>
        <v/>
      </c>
      <c r="M231" s="14">
        <f>IF($A231="","",IF(AND($C231=$J231,$D231=$K231),1,0))</f>
        <v/>
      </c>
      <c r="N231" s="14">
        <f>IF($A231="","",IFERROR(IF(INDEX(TICKETS_DATASET!$J$2:$J$301,MATCH($A231,TICKETS_DATASET!$A$2:$A$301,0))="ambigu",1,0),0))</f>
        <v/>
      </c>
      <c r="O231" s="14">
        <f>IF($A231="","",IF(OR($G231&lt;&gt;"",$L231=0,$M231=0),1,0))</f>
        <v/>
      </c>
    </row>
    <row r="232" ht="34" customHeight="1">
      <c r="A232" s="5" t="n"/>
      <c r="B232" s="5" t="n"/>
      <c r="C232" s="5" t="n"/>
      <c r="D232" s="5" t="n"/>
      <c r="E232" s="10" t="n"/>
      <c r="F232" s="11" t="n"/>
      <c r="G232" s="12" t="n"/>
      <c r="H232" s="12" t="n"/>
      <c r="I232" s="13">
        <f>IFERROR(INDEX(TICKETS_DATASET!$G$2:$G$301,MATCH($A232,TICKETS_DATASET!$A$2:$A$301,0)),"")</f>
        <v/>
      </c>
      <c r="J232" s="13">
        <f>IFERROR(INDEX(TICKETS_DATASET!$D$2:$D$301,MATCH($A232,TICKETS_DATASET!$A$2:$A$301,0)),"")</f>
        <v/>
      </c>
      <c r="K232" s="13">
        <f>IFERROR(INDEX(TICKETS_DATASET!$E$2:$E$301,MATCH($A232,TICKETS_DATASET!$A$2:$A$301,0)),"")</f>
        <v/>
      </c>
      <c r="L232" s="14">
        <f>IF($A232="","",IF($B232=$I232,1,0))</f>
        <v/>
      </c>
      <c r="M232" s="14">
        <f>IF($A232="","",IF(AND($C232=$J232,$D232=$K232),1,0))</f>
        <v/>
      </c>
      <c r="N232" s="14">
        <f>IF($A232="","",IFERROR(IF(INDEX(TICKETS_DATASET!$J$2:$J$301,MATCH($A232,TICKETS_DATASET!$A$2:$A$301,0))="ambigu",1,0),0))</f>
        <v/>
      </c>
      <c r="O232" s="14">
        <f>IF($A232="","",IF(OR($G232&lt;&gt;"",$L232=0,$M232=0),1,0))</f>
        <v/>
      </c>
    </row>
    <row r="233" ht="34" customHeight="1">
      <c r="A233" s="5" t="n"/>
      <c r="B233" s="5" t="n"/>
      <c r="C233" s="5" t="n"/>
      <c r="D233" s="5" t="n"/>
      <c r="E233" s="10" t="n"/>
      <c r="F233" s="11" t="n"/>
      <c r="G233" s="12" t="n"/>
      <c r="H233" s="12" t="n"/>
      <c r="I233" s="13">
        <f>IFERROR(INDEX(TICKETS_DATASET!$G$2:$G$301,MATCH($A233,TICKETS_DATASET!$A$2:$A$301,0)),"")</f>
        <v/>
      </c>
      <c r="J233" s="13">
        <f>IFERROR(INDEX(TICKETS_DATASET!$D$2:$D$301,MATCH($A233,TICKETS_DATASET!$A$2:$A$301,0)),"")</f>
        <v/>
      </c>
      <c r="K233" s="13">
        <f>IFERROR(INDEX(TICKETS_DATASET!$E$2:$E$301,MATCH($A233,TICKETS_DATASET!$A$2:$A$301,0)),"")</f>
        <v/>
      </c>
      <c r="L233" s="14">
        <f>IF($A233="","",IF($B233=$I233,1,0))</f>
        <v/>
      </c>
      <c r="M233" s="14">
        <f>IF($A233="","",IF(AND($C233=$J233,$D233=$K233),1,0))</f>
        <v/>
      </c>
      <c r="N233" s="14">
        <f>IF($A233="","",IFERROR(IF(INDEX(TICKETS_DATASET!$J$2:$J$301,MATCH($A233,TICKETS_DATASET!$A$2:$A$301,0))="ambigu",1,0),0))</f>
        <v/>
      </c>
      <c r="O233" s="14">
        <f>IF($A233="","",IF(OR($G233&lt;&gt;"",$L233=0,$M233=0),1,0))</f>
        <v/>
      </c>
    </row>
    <row r="234" ht="34" customHeight="1">
      <c r="A234" s="5" t="n"/>
      <c r="B234" s="5" t="n"/>
      <c r="C234" s="5" t="n"/>
      <c r="D234" s="5" t="n"/>
      <c r="E234" s="10" t="n"/>
      <c r="F234" s="11" t="n"/>
      <c r="G234" s="12" t="n"/>
      <c r="H234" s="12" t="n"/>
      <c r="I234" s="13">
        <f>IFERROR(INDEX(TICKETS_DATASET!$G$2:$G$301,MATCH($A234,TICKETS_DATASET!$A$2:$A$301,0)),"")</f>
        <v/>
      </c>
      <c r="J234" s="13">
        <f>IFERROR(INDEX(TICKETS_DATASET!$D$2:$D$301,MATCH($A234,TICKETS_DATASET!$A$2:$A$301,0)),"")</f>
        <v/>
      </c>
      <c r="K234" s="13">
        <f>IFERROR(INDEX(TICKETS_DATASET!$E$2:$E$301,MATCH($A234,TICKETS_DATASET!$A$2:$A$301,0)),"")</f>
        <v/>
      </c>
      <c r="L234" s="14">
        <f>IF($A234="","",IF($B234=$I234,1,0))</f>
        <v/>
      </c>
      <c r="M234" s="14">
        <f>IF($A234="","",IF(AND($C234=$J234,$D234=$K234),1,0))</f>
        <v/>
      </c>
      <c r="N234" s="14">
        <f>IF($A234="","",IFERROR(IF(INDEX(TICKETS_DATASET!$J$2:$J$301,MATCH($A234,TICKETS_DATASET!$A$2:$A$301,0))="ambigu",1,0),0))</f>
        <v/>
      </c>
      <c r="O234" s="14">
        <f>IF($A234="","",IF(OR($G234&lt;&gt;"",$L234=0,$M234=0),1,0))</f>
        <v/>
      </c>
    </row>
    <row r="235" ht="34" customHeight="1">
      <c r="A235" s="5" t="n"/>
      <c r="B235" s="5" t="n"/>
      <c r="C235" s="5" t="n"/>
      <c r="D235" s="5" t="n"/>
      <c r="E235" s="10" t="n"/>
      <c r="F235" s="11" t="n"/>
      <c r="G235" s="12" t="n"/>
      <c r="H235" s="12" t="n"/>
      <c r="I235" s="13">
        <f>IFERROR(INDEX(TICKETS_DATASET!$G$2:$G$301,MATCH($A235,TICKETS_DATASET!$A$2:$A$301,0)),"")</f>
        <v/>
      </c>
      <c r="J235" s="13">
        <f>IFERROR(INDEX(TICKETS_DATASET!$D$2:$D$301,MATCH($A235,TICKETS_DATASET!$A$2:$A$301,0)),"")</f>
        <v/>
      </c>
      <c r="K235" s="13">
        <f>IFERROR(INDEX(TICKETS_DATASET!$E$2:$E$301,MATCH($A235,TICKETS_DATASET!$A$2:$A$301,0)),"")</f>
        <v/>
      </c>
      <c r="L235" s="14">
        <f>IF($A235="","",IF($B235=$I235,1,0))</f>
        <v/>
      </c>
      <c r="M235" s="14">
        <f>IF($A235="","",IF(AND($C235=$J235,$D235=$K235),1,0))</f>
        <v/>
      </c>
      <c r="N235" s="14">
        <f>IF($A235="","",IFERROR(IF(INDEX(TICKETS_DATASET!$J$2:$J$301,MATCH($A235,TICKETS_DATASET!$A$2:$A$301,0))="ambigu",1,0),0))</f>
        <v/>
      </c>
      <c r="O235" s="14">
        <f>IF($A235="","",IF(OR($G235&lt;&gt;"",$L235=0,$M235=0),1,0))</f>
        <v/>
      </c>
    </row>
    <row r="236" ht="34" customHeight="1">
      <c r="A236" s="5" t="n"/>
      <c r="B236" s="5" t="n"/>
      <c r="C236" s="5" t="n"/>
      <c r="D236" s="5" t="n"/>
      <c r="E236" s="10" t="n"/>
      <c r="F236" s="11" t="n"/>
      <c r="G236" s="12" t="n"/>
      <c r="H236" s="12" t="n"/>
      <c r="I236" s="13">
        <f>IFERROR(INDEX(TICKETS_DATASET!$G$2:$G$301,MATCH($A236,TICKETS_DATASET!$A$2:$A$301,0)),"")</f>
        <v/>
      </c>
      <c r="J236" s="13">
        <f>IFERROR(INDEX(TICKETS_DATASET!$D$2:$D$301,MATCH($A236,TICKETS_DATASET!$A$2:$A$301,0)),"")</f>
        <v/>
      </c>
      <c r="K236" s="13">
        <f>IFERROR(INDEX(TICKETS_DATASET!$E$2:$E$301,MATCH($A236,TICKETS_DATASET!$A$2:$A$301,0)),"")</f>
        <v/>
      </c>
      <c r="L236" s="14">
        <f>IF($A236="","",IF($B236=$I236,1,0))</f>
        <v/>
      </c>
      <c r="M236" s="14">
        <f>IF($A236="","",IF(AND($C236=$J236,$D236=$K236),1,0))</f>
        <v/>
      </c>
      <c r="N236" s="14">
        <f>IF($A236="","",IFERROR(IF(INDEX(TICKETS_DATASET!$J$2:$J$301,MATCH($A236,TICKETS_DATASET!$A$2:$A$301,0))="ambigu",1,0),0))</f>
        <v/>
      </c>
      <c r="O236" s="14">
        <f>IF($A236="","",IF(OR($G236&lt;&gt;"",$L236=0,$M236=0),1,0))</f>
        <v/>
      </c>
    </row>
    <row r="237" ht="34" customHeight="1">
      <c r="A237" s="5" t="n"/>
      <c r="B237" s="5" t="n"/>
      <c r="C237" s="5" t="n"/>
      <c r="D237" s="5" t="n"/>
      <c r="E237" s="10" t="n"/>
      <c r="F237" s="11" t="n"/>
      <c r="G237" s="12" t="n"/>
      <c r="H237" s="12" t="n"/>
      <c r="I237" s="13">
        <f>IFERROR(INDEX(TICKETS_DATASET!$G$2:$G$301,MATCH($A237,TICKETS_DATASET!$A$2:$A$301,0)),"")</f>
        <v/>
      </c>
      <c r="J237" s="13">
        <f>IFERROR(INDEX(TICKETS_DATASET!$D$2:$D$301,MATCH($A237,TICKETS_DATASET!$A$2:$A$301,0)),"")</f>
        <v/>
      </c>
      <c r="K237" s="13">
        <f>IFERROR(INDEX(TICKETS_DATASET!$E$2:$E$301,MATCH($A237,TICKETS_DATASET!$A$2:$A$301,0)),"")</f>
        <v/>
      </c>
      <c r="L237" s="14">
        <f>IF($A237="","",IF($B237=$I237,1,0))</f>
        <v/>
      </c>
      <c r="M237" s="14">
        <f>IF($A237="","",IF(AND($C237=$J237,$D237=$K237),1,0))</f>
        <v/>
      </c>
      <c r="N237" s="14">
        <f>IF($A237="","",IFERROR(IF(INDEX(TICKETS_DATASET!$J$2:$J$301,MATCH($A237,TICKETS_DATASET!$A$2:$A$301,0))="ambigu",1,0),0))</f>
        <v/>
      </c>
      <c r="O237" s="14">
        <f>IF($A237="","",IF(OR($G237&lt;&gt;"",$L237=0,$M237=0),1,0))</f>
        <v/>
      </c>
    </row>
    <row r="238" ht="34" customHeight="1">
      <c r="A238" s="5" t="n"/>
      <c r="B238" s="5" t="n"/>
      <c r="C238" s="5" t="n"/>
      <c r="D238" s="5" t="n"/>
      <c r="E238" s="10" t="n"/>
      <c r="F238" s="11" t="n"/>
      <c r="G238" s="12" t="n"/>
      <c r="H238" s="12" t="n"/>
      <c r="I238" s="13">
        <f>IFERROR(INDEX(TICKETS_DATASET!$G$2:$G$301,MATCH($A238,TICKETS_DATASET!$A$2:$A$301,0)),"")</f>
        <v/>
      </c>
      <c r="J238" s="13">
        <f>IFERROR(INDEX(TICKETS_DATASET!$D$2:$D$301,MATCH($A238,TICKETS_DATASET!$A$2:$A$301,0)),"")</f>
        <v/>
      </c>
      <c r="K238" s="13">
        <f>IFERROR(INDEX(TICKETS_DATASET!$E$2:$E$301,MATCH($A238,TICKETS_DATASET!$A$2:$A$301,0)),"")</f>
        <v/>
      </c>
      <c r="L238" s="14">
        <f>IF($A238="","",IF($B238=$I238,1,0))</f>
        <v/>
      </c>
      <c r="M238" s="14">
        <f>IF($A238="","",IF(AND($C238=$J238,$D238=$K238),1,0))</f>
        <v/>
      </c>
      <c r="N238" s="14">
        <f>IF($A238="","",IFERROR(IF(INDEX(TICKETS_DATASET!$J$2:$J$301,MATCH($A238,TICKETS_DATASET!$A$2:$A$301,0))="ambigu",1,0),0))</f>
        <v/>
      </c>
      <c r="O238" s="14">
        <f>IF($A238="","",IF(OR($G238&lt;&gt;"",$L238=0,$M238=0),1,0))</f>
        <v/>
      </c>
    </row>
    <row r="239" ht="34" customHeight="1">
      <c r="A239" s="5" t="n"/>
      <c r="B239" s="5" t="n"/>
      <c r="C239" s="5" t="n"/>
      <c r="D239" s="5" t="n"/>
      <c r="E239" s="10" t="n"/>
      <c r="F239" s="11" t="n"/>
      <c r="G239" s="12" t="n"/>
      <c r="H239" s="12" t="n"/>
      <c r="I239" s="13">
        <f>IFERROR(INDEX(TICKETS_DATASET!$G$2:$G$301,MATCH($A239,TICKETS_DATASET!$A$2:$A$301,0)),"")</f>
        <v/>
      </c>
      <c r="J239" s="13">
        <f>IFERROR(INDEX(TICKETS_DATASET!$D$2:$D$301,MATCH($A239,TICKETS_DATASET!$A$2:$A$301,0)),"")</f>
        <v/>
      </c>
      <c r="K239" s="13">
        <f>IFERROR(INDEX(TICKETS_DATASET!$E$2:$E$301,MATCH($A239,TICKETS_DATASET!$A$2:$A$301,0)),"")</f>
        <v/>
      </c>
      <c r="L239" s="14">
        <f>IF($A239="","",IF($B239=$I239,1,0))</f>
        <v/>
      </c>
      <c r="M239" s="14">
        <f>IF($A239="","",IF(AND($C239=$J239,$D239=$K239),1,0))</f>
        <v/>
      </c>
      <c r="N239" s="14">
        <f>IF($A239="","",IFERROR(IF(INDEX(TICKETS_DATASET!$J$2:$J$301,MATCH($A239,TICKETS_DATASET!$A$2:$A$301,0))="ambigu",1,0),0))</f>
        <v/>
      </c>
      <c r="O239" s="14">
        <f>IF($A239="","",IF(OR($G239&lt;&gt;"",$L239=0,$M239=0),1,0))</f>
        <v/>
      </c>
    </row>
    <row r="240" ht="34" customHeight="1">
      <c r="A240" s="5" t="n"/>
      <c r="B240" s="5" t="n"/>
      <c r="C240" s="5" t="n"/>
      <c r="D240" s="5" t="n"/>
      <c r="E240" s="10" t="n"/>
      <c r="F240" s="11" t="n"/>
      <c r="G240" s="12" t="n"/>
      <c r="H240" s="12" t="n"/>
      <c r="I240" s="13">
        <f>IFERROR(INDEX(TICKETS_DATASET!$G$2:$G$301,MATCH($A240,TICKETS_DATASET!$A$2:$A$301,0)),"")</f>
        <v/>
      </c>
      <c r="J240" s="13">
        <f>IFERROR(INDEX(TICKETS_DATASET!$D$2:$D$301,MATCH($A240,TICKETS_DATASET!$A$2:$A$301,0)),"")</f>
        <v/>
      </c>
      <c r="K240" s="13">
        <f>IFERROR(INDEX(TICKETS_DATASET!$E$2:$E$301,MATCH($A240,TICKETS_DATASET!$A$2:$A$301,0)),"")</f>
        <v/>
      </c>
      <c r="L240" s="14">
        <f>IF($A240="","",IF($B240=$I240,1,0))</f>
        <v/>
      </c>
      <c r="M240" s="14">
        <f>IF($A240="","",IF(AND($C240=$J240,$D240=$K240),1,0))</f>
        <v/>
      </c>
      <c r="N240" s="14">
        <f>IF($A240="","",IFERROR(IF(INDEX(TICKETS_DATASET!$J$2:$J$301,MATCH($A240,TICKETS_DATASET!$A$2:$A$301,0))="ambigu",1,0),0))</f>
        <v/>
      </c>
      <c r="O240" s="14">
        <f>IF($A240="","",IF(OR($G240&lt;&gt;"",$L240=0,$M240=0),1,0))</f>
        <v/>
      </c>
    </row>
    <row r="241" ht="34" customHeight="1">
      <c r="A241" s="5" t="n"/>
      <c r="B241" s="5" t="n"/>
      <c r="C241" s="5" t="n"/>
      <c r="D241" s="5" t="n"/>
      <c r="E241" s="10" t="n"/>
      <c r="F241" s="11" t="n"/>
      <c r="G241" s="12" t="n"/>
      <c r="H241" s="12" t="n"/>
      <c r="I241" s="13">
        <f>IFERROR(INDEX(TICKETS_DATASET!$G$2:$G$301,MATCH($A241,TICKETS_DATASET!$A$2:$A$301,0)),"")</f>
        <v/>
      </c>
      <c r="J241" s="13">
        <f>IFERROR(INDEX(TICKETS_DATASET!$D$2:$D$301,MATCH($A241,TICKETS_DATASET!$A$2:$A$301,0)),"")</f>
        <v/>
      </c>
      <c r="K241" s="13">
        <f>IFERROR(INDEX(TICKETS_DATASET!$E$2:$E$301,MATCH($A241,TICKETS_DATASET!$A$2:$A$301,0)),"")</f>
        <v/>
      </c>
      <c r="L241" s="14">
        <f>IF($A241="","",IF($B241=$I241,1,0))</f>
        <v/>
      </c>
      <c r="M241" s="14">
        <f>IF($A241="","",IF(AND($C241=$J241,$D241=$K241),1,0))</f>
        <v/>
      </c>
      <c r="N241" s="14">
        <f>IF($A241="","",IFERROR(IF(INDEX(TICKETS_DATASET!$J$2:$J$301,MATCH($A241,TICKETS_DATASET!$A$2:$A$301,0))="ambigu",1,0),0))</f>
        <v/>
      </c>
      <c r="O241" s="14">
        <f>IF($A241="","",IF(OR($G241&lt;&gt;"",$L241=0,$M241=0),1,0))</f>
        <v/>
      </c>
    </row>
    <row r="242" ht="34" customHeight="1">
      <c r="A242" s="5" t="n"/>
      <c r="B242" s="5" t="n"/>
      <c r="C242" s="5" t="n"/>
      <c r="D242" s="5" t="n"/>
      <c r="E242" s="10" t="n"/>
      <c r="F242" s="11" t="n"/>
      <c r="G242" s="12" t="n"/>
      <c r="H242" s="12" t="n"/>
      <c r="I242" s="13">
        <f>IFERROR(INDEX(TICKETS_DATASET!$G$2:$G$301,MATCH($A242,TICKETS_DATASET!$A$2:$A$301,0)),"")</f>
        <v/>
      </c>
      <c r="J242" s="13">
        <f>IFERROR(INDEX(TICKETS_DATASET!$D$2:$D$301,MATCH($A242,TICKETS_DATASET!$A$2:$A$301,0)),"")</f>
        <v/>
      </c>
      <c r="K242" s="13">
        <f>IFERROR(INDEX(TICKETS_DATASET!$E$2:$E$301,MATCH($A242,TICKETS_DATASET!$A$2:$A$301,0)),"")</f>
        <v/>
      </c>
      <c r="L242" s="14">
        <f>IF($A242="","",IF($B242=$I242,1,0))</f>
        <v/>
      </c>
      <c r="M242" s="14">
        <f>IF($A242="","",IF(AND($C242=$J242,$D242=$K242),1,0))</f>
        <v/>
      </c>
      <c r="N242" s="14">
        <f>IF($A242="","",IFERROR(IF(INDEX(TICKETS_DATASET!$J$2:$J$301,MATCH($A242,TICKETS_DATASET!$A$2:$A$301,0))="ambigu",1,0),0))</f>
        <v/>
      </c>
      <c r="O242" s="14">
        <f>IF($A242="","",IF(OR($G242&lt;&gt;"",$L242=0,$M242=0),1,0))</f>
        <v/>
      </c>
    </row>
    <row r="243" ht="34" customHeight="1">
      <c r="A243" s="5" t="n"/>
      <c r="B243" s="5" t="n"/>
      <c r="C243" s="5" t="n"/>
      <c r="D243" s="5" t="n"/>
      <c r="E243" s="10" t="n"/>
      <c r="F243" s="11" t="n"/>
      <c r="G243" s="12" t="n"/>
      <c r="H243" s="12" t="n"/>
      <c r="I243" s="13">
        <f>IFERROR(INDEX(TICKETS_DATASET!$G$2:$G$301,MATCH($A243,TICKETS_DATASET!$A$2:$A$301,0)),"")</f>
        <v/>
      </c>
      <c r="J243" s="13">
        <f>IFERROR(INDEX(TICKETS_DATASET!$D$2:$D$301,MATCH($A243,TICKETS_DATASET!$A$2:$A$301,0)),"")</f>
        <v/>
      </c>
      <c r="K243" s="13">
        <f>IFERROR(INDEX(TICKETS_DATASET!$E$2:$E$301,MATCH($A243,TICKETS_DATASET!$A$2:$A$301,0)),"")</f>
        <v/>
      </c>
      <c r="L243" s="14">
        <f>IF($A243="","",IF($B243=$I243,1,0))</f>
        <v/>
      </c>
      <c r="M243" s="14">
        <f>IF($A243="","",IF(AND($C243=$J243,$D243=$K243),1,0))</f>
        <v/>
      </c>
      <c r="N243" s="14">
        <f>IF($A243="","",IFERROR(IF(INDEX(TICKETS_DATASET!$J$2:$J$301,MATCH($A243,TICKETS_DATASET!$A$2:$A$301,0))="ambigu",1,0),0))</f>
        <v/>
      </c>
      <c r="O243" s="14">
        <f>IF($A243="","",IF(OR($G243&lt;&gt;"",$L243=0,$M243=0),1,0))</f>
        <v/>
      </c>
    </row>
    <row r="244" ht="34" customHeight="1">
      <c r="A244" s="5" t="n"/>
      <c r="B244" s="5" t="n"/>
      <c r="C244" s="5" t="n"/>
      <c r="D244" s="5" t="n"/>
      <c r="E244" s="10" t="n"/>
      <c r="F244" s="11" t="n"/>
      <c r="G244" s="12" t="n"/>
      <c r="H244" s="12" t="n"/>
      <c r="I244" s="13">
        <f>IFERROR(INDEX(TICKETS_DATASET!$G$2:$G$301,MATCH($A244,TICKETS_DATASET!$A$2:$A$301,0)),"")</f>
        <v/>
      </c>
      <c r="J244" s="13">
        <f>IFERROR(INDEX(TICKETS_DATASET!$D$2:$D$301,MATCH($A244,TICKETS_DATASET!$A$2:$A$301,0)),"")</f>
        <v/>
      </c>
      <c r="K244" s="13">
        <f>IFERROR(INDEX(TICKETS_DATASET!$E$2:$E$301,MATCH($A244,TICKETS_DATASET!$A$2:$A$301,0)),"")</f>
        <v/>
      </c>
      <c r="L244" s="14">
        <f>IF($A244="","",IF($B244=$I244,1,0))</f>
        <v/>
      </c>
      <c r="M244" s="14">
        <f>IF($A244="","",IF(AND($C244=$J244,$D244=$K244),1,0))</f>
        <v/>
      </c>
      <c r="N244" s="14">
        <f>IF($A244="","",IFERROR(IF(INDEX(TICKETS_DATASET!$J$2:$J$301,MATCH($A244,TICKETS_DATASET!$A$2:$A$301,0))="ambigu",1,0),0))</f>
        <v/>
      </c>
      <c r="O244" s="14">
        <f>IF($A244="","",IF(OR($G244&lt;&gt;"",$L244=0,$M244=0),1,0))</f>
        <v/>
      </c>
    </row>
    <row r="245" ht="34" customHeight="1">
      <c r="A245" s="5" t="n"/>
      <c r="B245" s="5" t="n"/>
      <c r="C245" s="5" t="n"/>
      <c r="D245" s="5" t="n"/>
      <c r="E245" s="10" t="n"/>
      <c r="F245" s="11" t="n"/>
      <c r="G245" s="12" t="n"/>
      <c r="H245" s="12" t="n"/>
      <c r="I245" s="13">
        <f>IFERROR(INDEX(TICKETS_DATASET!$G$2:$G$301,MATCH($A245,TICKETS_DATASET!$A$2:$A$301,0)),"")</f>
        <v/>
      </c>
      <c r="J245" s="13">
        <f>IFERROR(INDEX(TICKETS_DATASET!$D$2:$D$301,MATCH($A245,TICKETS_DATASET!$A$2:$A$301,0)),"")</f>
        <v/>
      </c>
      <c r="K245" s="13">
        <f>IFERROR(INDEX(TICKETS_DATASET!$E$2:$E$301,MATCH($A245,TICKETS_DATASET!$A$2:$A$301,0)),"")</f>
        <v/>
      </c>
      <c r="L245" s="14">
        <f>IF($A245="","",IF($B245=$I245,1,0))</f>
        <v/>
      </c>
      <c r="M245" s="14">
        <f>IF($A245="","",IF(AND($C245=$J245,$D245=$K245),1,0))</f>
        <v/>
      </c>
      <c r="N245" s="14">
        <f>IF($A245="","",IFERROR(IF(INDEX(TICKETS_DATASET!$J$2:$J$301,MATCH($A245,TICKETS_DATASET!$A$2:$A$301,0))="ambigu",1,0),0))</f>
        <v/>
      </c>
      <c r="O245" s="14">
        <f>IF($A245="","",IF(OR($G245&lt;&gt;"",$L245=0,$M245=0),1,0))</f>
        <v/>
      </c>
    </row>
    <row r="246" ht="34" customHeight="1">
      <c r="A246" s="5" t="n"/>
      <c r="B246" s="5" t="n"/>
      <c r="C246" s="5" t="n"/>
      <c r="D246" s="5" t="n"/>
      <c r="E246" s="10" t="n"/>
      <c r="F246" s="11" t="n"/>
      <c r="G246" s="12" t="n"/>
      <c r="H246" s="12" t="n"/>
      <c r="I246" s="13">
        <f>IFERROR(INDEX(TICKETS_DATASET!$G$2:$G$301,MATCH($A246,TICKETS_DATASET!$A$2:$A$301,0)),"")</f>
        <v/>
      </c>
      <c r="J246" s="13">
        <f>IFERROR(INDEX(TICKETS_DATASET!$D$2:$D$301,MATCH($A246,TICKETS_DATASET!$A$2:$A$301,0)),"")</f>
        <v/>
      </c>
      <c r="K246" s="13">
        <f>IFERROR(INDEX(TICKETS_DATASET!$E$2:$E$301,MATCH($A246,TICKETS_DATASET!$A$2:$A$301,0)),"")</f>
        <v/>
      </c>
      <c r="L246" s="14">
        <f>IF($A246="","",IF($B246=$I246,1,0))</f>
        <v/>
      </c>
      <c r="M246" s="14">
        <f>IF($A246="","",IF(AND($C246=$J246,$D246=$K246),1,0))</f>
        <v/>
      </c>
      <c r="N246" s="14">
        <f>IF($A246="","",IFERROR(IF(INDEX(TICKETS_DATASET!$J$2:$J$301,MATCH($A246,TICKETS_DATASET!$A$2:$A$301,0))="ambigu",1,0),0))</f>
        <v/>
      </c>
      <c r="O246" s="14">
        <f>IF($A246="","",IF(OR($G246&lt;&gt;"",$L246=0,$M246=0),1,0))</f>
        <v/>
      </c>
    </row>
    <row r="247" ht="34" customHeight="1">
      <c r="A247" s="5" t="n"/>
      <c r="B247" s="5" t="n"/>
      <c r="C247" s="5" t="n"/>
      <c r="D247" s="5" t="n"/>
      <c r="E247" s="10" t="n"/>
      <c r="F247" s="11" t="n"/>
      <c r="G247" s="12" t="n"/>
      <c r="H247" s="12" t="n"/>
      <c r="I247" s="13">
        <f>IFERROR(INDEX(TICKETS_DATASET!$G$2:$G$301,MATCH($A247,TICKETS_DATASET!$A$2:$A$301,0)),"")</f>
        <v/>
      </c>
      <c r="J247" s="13">
        <f>IFERROR(INDEX(TICKETS_DATASET!$D$2:$D$301,MATCH($A247,TICKETS_DATASET!$A$2:$A$301,0)),"")</f>
        <v/>
      </c>
      <c r="K247" s="13">
        <f>IFERROR(INDEX(TICKETS_DATASET!$E$2:$E$301,MATCH($A247,TICKETS_DATASET!$A$2:$A$301,0)),"")</f>
        <v/>
      </c>
      <c r="L247" s="14">
        <f>IF($A247="","",IF($B247=$I247,1,0))</f>
        <v/>
      </c>
      <c r="M247" s="14">
        <f>IF($A247="","",IF(AND($C247=$J247,$D247=$K247),1,0))</f>
        <v/>
      </c>
      <c r="N247" s="14">
        <f>IF($A247="","",IFERROR(IF(INDEX(TICKETS_DATASET!$J$2:$J$301,MATCH($A247,TICKETS_DATASET!$A$2:$A$301,0))="ambigu",1,0),0))</f>
        <v/>
      </c>
      <c r="O247" s="14">
        <f>IF($A247="","",IF(OR($G247&lt;&gt;"",$L247=0,$M247=0),1,0))</f>
        <v/>
      </c>
    </row>
    <row r="248" ht="34" customHeight="1">
      <c r="A248" s="5" t="n"/>
      <c r="B248" s="5" t="n"/>
      <c r="C248" s="5" t="n"/>
      <c r="D248" s="5" t="n"/>
      <c r="E248" s="10" t="n"/>
      <c r="F248" s="11" t="n"/>
      <c r="G248" s="12" t="n"/>
      <c r="H248" s="12" t="n"/>
      <c r="I248" s="13">
        <f>IFERROR(INDEX(TICKETS_DATASET!$G$2:$G$301,MATCH($A248,TICKETS_DATASET!$A$2:$A$301,0)),"")</f>
        <v/>
      </c>
      <c r="J248" s="13">
        <f>IFERROR(INDEX(TICKETS_DATASET!$D$2:$D$301,MATCH($A248,TICKETS_DATASET!$A$2:$A$301,0)),"")</f>
        <v/>
      </c>
      <c r="K248" s="13">
        <f>IFERROR(INDEX(TICKETS_DATASET!$E$2:$E$301,MATCH($A248,TICKETS_DATASET!$A$2:$A$301,0)),"")</f>
        <v/>
      </c>
      <c r="L248" s="14">
        <f>IF($A248="","",IF($B248=$I248,1,0))</f>
        <v/>
      </c>
      <c r="M248" s="14">
        <f>IF($A248="","",IF(AND($C248=$J248,$D248=$K248),1,0))</f>
        <v/>
      </c>
      <c r="N248" s="14">
        <f>IF($A248="","",IFERROR(IF(INDEX(TICKETS_DATASET!$J$2:$J$301,MATCH($A248,TICKETS_DATASET!$A$2:$A$301,0))="ambigu",1,0),0))</f>
        <v/>
      </c>
      <c r="O248" s="14">
        <f>IF($A248="","",IF(OR($G248&lt;&gt;"",$L248=0,$M248=0),1,0))</f>
        <v/>
      </c>
    </row>
    <row r="249" ht="34" customHeight="1">
      <c r="A249" s="5" t="n"/>
      <c r="B249" s="5" t="n"/>
      <c r="C249" s="5" t="n"/>
      <c r="D249" s="5" t="n"/>
      <c r="E249" s="10" t="n"/>
      <c r="F249" s="11" t="n"/>
      <c r="G249" s="12" t="n"/>
      <c r="H249" s="12" t="n"/>
      <c r="I249" s="13">
        <f>IFERROR(INDEX(TICKETS_DATASET!$G$2:$G$301,MATCH($A249,TICKETS_DATASET!$A$2:$A$301,0)),"")</f>
        <v/>
      </c>
      <c r="J249" s="13">
        <f>IFERROR(INDEX(TICKETS_DATASET!$D$2:$D$301,MATCH($A249,TICKETS_DATASET!$A$2:$A$301,0)),"")</f>
        <v/>
      </c>
      <c r="K249" s="13">
        <f>IFERROR(INDEX(TICKETS_DATASET!$E$2:$E$301,MATCH($A249,TICKETS_DATASET!$A$2:$A$301,0)),"")</f>
        <v/>
      </c>
      <c r="L249" s="14">
        <f>IF($A249="","",IF($B249=$I249,1,0))</f>
        <v/>
      </c>
      <c r="M249" s="14">
        <f>IF($A249="","",IF(AND($C249=$J249,$D249=$K249),1,0))</f>
        <v/>
      </c>
      <c r="N249" s="14">
        <f>IF($A249="","",IFERROR(IF(INDEX(TICKETS_DATASET!$J$2:$J$301,MATCH($A249,TICKETS_DATASET!$A$2:$A$301,0))="ambigu",1,0),0))</f>
        <v/>
      </c>
      <c r="O249" s="14">
        <f>IF($A249="","",IF(OR($G249&lt;&gt;"",$L249=0,$M249=0),1,0))</f>
        <v/>
      </c>
    </row>
    <row r="250" ht="34" customHeight="1">
      <c r="A250" s="5" t="n"/>
      <c r="B250" s="5" t="n"/>
      <c r="C250" s="5" t="n"/>
      <c r="D250" s="5" t="n"/>
      <c r="E250" s="10" t="n"/>
      <c r="F250" s="11" t="n"/>
      <c r="G250" s="12" t="n"/>
      <c r="H250" s="12" t="n"/>
      <c r="I250" s="13">
        <f>IFERROR(INDEX(TICKETS_DATASET!$G$2:$G$301,MATCH($A250,TICKETS_DATASET!$A$2:$A$301,0)),"")</f>
        <v/>
      </c>
      <c r="J250" s="13">
        <f>IFERROR(INDEX(TICKETS_DATASET!$D$2:$D$301,MATCH($A250,TICKETS_DATASET!$A$2:$A$301,0)),"")</f>
        <v/>
      </c>
      <c r="K250" s="13">
        <f>IFERROR(INDEX(TICKETS_DATASET!$E$2:$E$301,MATCH($A250,TICKETS_DATASET!$A$2:$A$301,0)),"")</f>
        <v/>
      </c>
      <c r="L250" s="14">
        <f>IF($A250="","",IF($B250=$I250,1,0))</f>
        <v/>
      </c>
      <c r="M250" s="14">
        <f>IF($A250="","",IF(AND($C250=$J250,$D250=$K250),1,0))</f>
        <v/>
      </c>
      <c r="N250" s="14">
        <f>IF($A250="","",IFERROR(IF(INDEX(TICKETS_DATASET!$J$2:$J$301,MATCH($A250,TICKETS_DATASET!$A$2:$A$301,0))="ambigu",1,0),0))</f>
        <v/>
      </c>
      <c r="O250" s="14">
        <f>IF($A250="","",IF(OR($G250&lt;&gt;"",$L250=0,$M250=0),1,0))</f>
        <v/>
      </c>
    </row>
    <row r="251" ht="34" customHeight="1">
      <c r="A251" s="5" t="n"/>
      <c r="B251" s="5" t="n"/>
      <c r="C251" s="5" t="n"/>
      <c r="D251" s="5" t="n"/>
      <c r="E251" s="10" t="n"/>
      <c r="F251" s="11" t="n"/>
      <c r="G251" s="12" t="n"/>
      <c r="H251" s="12" t="n"/>
      <c r="I251" s="13">
        <f>IFERROR(INDEX(TICKETS_DATASET!$G$2:$G$301,MATCH($A251,TICKETS_DATASET!$A$2:$A$301,0)),"")</f>
        <v/>
      </c>
      <c r="J251" s="13">
        <f>IFERROR(INDEX(TICKETS_DATASET!$D$2:$D$301,MATCH($A251,TICKETS_DATASET!$A$2:$A$301,0)),"")</f>
        <v/>
      </c>
      <c r="K251" s="13">
        <f>IFERROR(INDEX(TICKETS_DATASET!$E$2:$E$301,MATCH($A251,TICKETS_DATASET!$A$2:$A$301,0)),"")</f>
        <v/>
      </c>
      <c r="L251" s="14">
        <f>IF($A251="","",IF($B251=$I251,1,0))</f>
        <v/>
      </c>
      <c r="M251" s="14">
        <f>IF($A251="","",IF(AND($C251=$J251,$D251=$K251),1,0))</f>
        <v/>
      </c>
      <c r="N251" s="14">
        <f>IF($A251="","",IFERROR(IF(INDEX(TICKETS_DATASET!$J$2:$J$301,MATCH($A251,TICKETS_DATASET!$A$2:$A$301,0))="ambigu",1,0),0))</f>
        <v/>
      </c>
      <c r="O251" s="14">
        <f>IF($A251="","",IF(OR($G251&lt;&gt;"",$L251=0,$M251=0),1,0))</f>
        <v/>
      </c>
    </row>
    <row r="252" ht="34" customHeight="1">
      <c r="A252" s="5" t="n"/>
      <c r="B252" s="5" t="n"/>
      <c r="C252" s="5" t="n"/>
      <c r="D252" s="5" t="n"/>
      <c r="E252" s="10" t="n"/>
      <c r="F252" s="11" t="n"/>
      <c r="G252" s="12" t="n"/>
      <c r="H252" s="12" t="n"/>
      <c r="I252" s="13">
        <f>IFERROR(INDEX(TICKETS_DATASET!$G$2:$G$301,MATCH($A252,TICKETS_DATASET!$A$2:$A$301,0)),"")</f>
        <v/>
      </c>
      <c r="J252" s="13">
        <f>IFERROR(INDEX(TICKETS_DATASET!$D$2:$D$301,MATCH($A252,TICKETS_DATASET!$A$2:$A$301,0)),"")</f>
        <v/>
      </c>
      <c r="K252" s="13">
        <f>IFERROR(INDEX(TICKETS_DATASET!$E$2:$E$301,MATCH($A252,TICKETS_DATASET!$A$2:$A$301,0)),"")</f>
        <v/>
      </c>
      <c r="L252" s="14">
        <f>IF($A252="","",IF($B252=$I252,1,0))</f>
        <v/>
      </c>
      <c r="M252" s="14">
        <f>IF($A252="","",IF(AND($C252=$J252,$D252=$K252),1,0))</f>
        <v/>
      </c>
      <c r="N252" s="14">
        <f>IF($A252="","",IFERROR(IF(INDEX(TICKETS_DATASET!$J$2:$J$301,MATCH($A252,TICKETS_DATASET!$A$2:$A$301,0))="ambigu",1,0),0))</f>
        <v/>
      </c>
      <c r="O252" s="14">
        <f>IF($A252="","",IF(OR($G252&lt;&gt;"",$L252=0,$M252=0),1,0))</f>
        <v/>
      </c>
    </row>
    <row r="253" ht="34" customHeight="1">
      <c r="A253" s="5" t="n"/>
      <c r="B253" s="5" t="n"/>
      <c r="C253" s="5" t="n"/>
      <c r="D253" s="5" t="n"/>
      <c r="E253" s="10" t="n"/>
      <c r="F253" s="11" t="n"/>
      <c r="G253" s="12" t="n"/>
      <c r="H253" s="12" t="n"/>
      <c r="I253" s="13">
        <f>IFERROR(INDEX(TICKETS_DATASET!$G$2:$G$301,MATCH($A253,TICKETS_DATASET!$A$2:$A$301,0)),"")</f>
        <v/>
      </c>
      <c r="J253" s="13">
        <f>IFERROR(INDEX(TICKETS_DATASET!$D$2:$D$301,MATCH($A253,TICKETS_DATASET!$A$2:$A$301,0)),"")</f>
        <v/>
      </c>
      <c r="K253" s="13">
        <f>IFERROR(INDEX(TICKETS_DATASET!$E$2:$E$301,MATCH($A253,TICKETS_DATASET!$A$2:$A$301,0)),"")</f>
        <v/>
      </c>
      <c r="L253" s="14">
        <f>IF($A253="","",IF($B253=$I253,1,0))</f>
        <v/>
      </c>
      <c r="M253" s="14">
        <f>IF($A253="","",IF(AND($C253=$J253,$D253=$K253),1,0))</f>
        <v/>
      </c>
      <c r="N253" s="14">
        <f>IF($A253="","",IFERROR(IF(INDEX(TICKETS_DATASET!$J$2:$J$301,MATCH($A253,TICKETS_DATASET!$A$2:$A$301,0))="ambigu",1,0),0))</f>
        <v/>
      </c>
      <c r="O253" s="14">
        <f>IF($A253="","",IF(OR($G253&lt;&gt;"",$L253=0,$M253=0),1,0))</f>
        <v/>
      </c>
    </row>
    <row r="254" ht="34" customHeight="1">
      <c r="A254" s="5" t="n"/>
      <c r="B254" s="5" t="n"/>
      <c r="C254" s="5" t="n"/>
      <c r="D254" s="5" t="n"/>
      <c r="E254" s="10" t="n"/>
      <c r="F254" s="11" t="n"/>
      <c r="G254" s="12" t="n"/>
      <c r="H254" s="12" t="n"/>
      <c r="I254" s="13">
        <f>IFERROR(INDEX(TICKETS_DATASET!$G$2:$G$301,MATCH($A254,TICKETS_DATASET!$A$2:$A$301,0)),"")</f>
        <v/>
      </c>
      <c r="J254" s="13">
        <f>IFERROR(INDEX(TICKETS_DATASET!$D$2:$D$301,MATCH($A254,TICKETS_DATASET!$A$2:$A$301,0)),"")</f>
        <v/>
      </c>
      <c r="K254" s="13">
        <f>IFERROR(INDEX(TICKETS_DATASET!$E$2:$E$301,MATCH($A254,TICKETS_DATASET!$A$2:$A$301,0)),"")</f>
        <v/>
      </c>
      <c r="L254" s="14">
        <f>IF($A254="","",IF($B254=$I254,1,0))</f>
        <v/>
      </c>
      <c r="M254" s="14">
        <f>IF($A254="","",IF(AND($C254=$J254,$D254=$K254),1,0))</f>
        <v/>
      </c>
      <c r="N254" s="14">
        <f>IF($A254="","",IFERROR(IF(INDEX(TICKETS_DATASET!$J$2:$J$301,MATCH($A254,TICKETS_DATASET!$A$2:$A$301,0))="ambigu",1,0),0))</f>
        <v/>
      </c>
      <c r="O254" s="14">
        <f>IF($A254="","",IF(OR($G254&lt;&gt;"",$L254=0,$M254=0),1,0))</f>
        <v/>
      </c>
    </row>
    <row r="255" ht="34" customHeight="1">
      <c r="A255" s="5" t="n"/>
      <c r="B255" s="5" t="n"/>
      <c r="C255" s="5" t="n"/>
      <c r="D255" s="5" t="n"/>
      <c r="E255" s="10" t="n"/>
      <c r="F255" s="11" t="n"/>
      <c r="G255" s="12" t="n"/>
      <c r="H255" s="12" t="n"/>
      <c r="I255" s="13">
        <f>IFERROR(INDEX(TICKETS_DATASET!$G$2:$G$301,MATCH($A255,TICKETS_DATASET!$A$2:$A$301,0)),"")</f>
        <v/>
      </c>
      <c r="J255" s="13">
        <f>IFERROR(INDEX(TICKETS_DATASET!$D$2:$D$301,MATCH($A255,TICKETS_DATASET!$A$2:$A$301,0)),"")</f>
        <v/>
      </c>
      <c r="K255" s="13">
        <f>IFERROR(INDEX(TICKETS_DATASET!$E$2:$E$301,MATCH($A255,TICKETS_DATASET!$A$2:$A$301,0)),"")</f>
        <v/>
      </c>
      <c r="L255" s="14">
        <f>IF($A255="","",IF($B255=$I255,1,0))</f>
        <v/>
      </c>
      <c r="M255" s="14">
        <f>IF($A255="","",IF(AND($C255=$J255,$D255=$K255),1,0))</f>
        <v/>
      </c>
      <c r="N255" s="14">
        <f>IF($A255="","",IFERROR(IF(INDEX(TICKETS_DATASET!$J$2:$J$301,MATCH($A255,TICKETS_DATASET!$A$2:$A$301,0))="ambigu",1,0),0))</f>
        <v/>
      </c>
      <c r="O255" s="14">
        <f>IF($A255="","",IF(OR($G255&lt;&gt;"",$L255=0,$M255=0),1,0))</f>
        <v/>
      </c>
    </row>
    <row r="256" ht="34" customHeight="1">
      <c r="A256" s="5" t="n"/>
      <c r="B256" s="5" t="n"/>
      <c r="C256" s="5" t="n"/>
      <c r="D256" s="5" t="n"/>
      <c r="E256" s="10" t="n"/>
      <c r="F256" s="11" t="n"/>
      <c r="G256" s="12" t="n"/>
      <c r="H256" s="12" t="n"/>
      <c r="I256" s="13">
        <f>IFERROR(INDEX(TICKETS_DATASET!$G$2:$G$301,MATCH($A256,TICKETS_DATASET!$A$2:$A$301,0)),"")</f>
        <v/>
      </c>
      <c r="J256" s="13">
        <f>IFERROR(INDEX(TICKETS_DATASET!$D$2:$D$301,MATCH($A256,TICKETS_DATASET!$A$2:$A$301,0)),"")</f>
        <v/>
      </c>
      <c r="K256" s="13">
        <f>IFERROR(INDEX(TICKETS_DATASET!$E$2:$E$301,MATCH($A256,TICKETS_DATASET!$A$2:$A$301,0)),"")</f>
        <v/>
      </c>
      <c r="L256" s="14">
        <f>IF($A256="","",IF($B256=$I256,1,0))</f>
        <v/>
      </c>
      <c r="M256" s="14">
        <f>IF($A256="","",IF(AND($C256=$J256,$D256=$K256),1,0))</f>
        <v/>
      </c>
      <c r="N256" s="14">
        <f>IF($A256="","",IFERROR(IF(INDEX(TICKETS_DATASET!$J$2:$J$301,MATCH($A256,TICKETS_DATASET!$A$2:$A$301,0))="ambigu",1,0),0))</f>
        <v/>
      </c>
      <c r="O256" s="14">
        <f>IF($A256="","",IF(OR($G256&lt;&gt;"",$L256=0,$M256=0),1,0))</f>
        <v/>
      </c>
    </row>
    <row r="257" ht="34" customHeight="1">
      <c r="A257" s="5" t="n"/>
      <c r="B257" s="5" t="n"/>
      <c r="C257" s="5" t="n"/>
      <c r="D257" s="5" t="n"/>
      <c r="E257" s="10" t="n"/>
      <c r="F257" s="11" t="n"/>
      <c r="G257" s="12" t="n"/>
      <c r="H257" s="12" t="n"/>
      <c r="I257" s="13">
        <f>IFERROR(INDEX(TICKETS_DATASET!$G$2:$G$301,MATCH($A257,TICKETS_DATASET!$A$2:$A$301,0)),"")</f>
        <v/>
      </c>
      <c r="J257" s="13">
        <f>IFERROR(INDEX(TICKETS_DATASET!$D$2:$D$301,MATCH($A257,TICKETS_DATASET!$A$2:$A$301,0)),"")</f>
        <v/>
      </c>
      <c r="K257" s="13">
        <f>IFERROR(INDEX(TICKETS_DATASET!$E$2:$E$301,MATCH($A257,TICKETS_DATASET!$A$2:$A$301,0)),"")</f>
        <v/>
      </c>
      <c r="L257" s="14">
        <f>IF($A257="","",IF($B257=$I257,1,0))</f>
        <v/>
      </c>
      <c r="M257" s="14">
        <f>IF($A257="","",IF(AND($C257=$J257,$D257=$K257),1,0))</f>
        <v/>
      </c>
      <c r="N257" s="14">
        <f>IF($A257="","",IFERROR(IF(INDEX(TICKETS_DATASET!$J$2:$J$301,MATCH($A257,TICKETS_DATASET!$A$2:$A$301,0))="ambigu",1,0),0))</f>
        <v/>
      </c>
      <c r="O257" s="14">
        <f>IF($A257="","",IF(OR($G257&lt;&gt;"",$L257=0,$M257=0),1,0))</f>
        <v/>
      </c>
    </row>
    <row r="258" ht="34" customHeight="1">
      <c r="A258" s="5" t="n"/>
      <c r="B258" s="5" t="n"/>
      <c r="C258" s="5" t="n"/>
      <c r="D258" s="5" t="n"/>
      <c r="E258" s="10" t="n"/>
      <c r="F258" s="11" t="n"/>
      <c r="G258" s="12" t="n"/>
      <c r="H258" s="12" t="n"/>
      <c r="I258" s="13">
        <f>IFERROR(INDEX(TICKETS_DATASET!$G$2:$G$301,MATCH($A258,TICKETS_DATASET!$A$2:$A$301,0)),"")</f>
        <v/>
      </c>
      <c r="J258" s="13">
        <f>IFERROR(INDEX(TICKETS_DATASET!$D$2:$D$301,MATCH($A258,TICKETS_DATASET!$A$2:$A$301,0)),"")</f>
        <v/>
      </c>
      <c r="K258" s="13">
        <f>IFERROR(INDEX(TICKETS_DATASET!$E$2:$E$301,MATCH($A258,TICKETS_DATASET!$A$2:$A$301,0)),"")</f>
        <v/>
      </c>
      <c r="L258" s="14">
        <f>IF($A258="","",IF($B258=$I258,1,0))</f>
        <v/>
      </c>
      <c r="M258" s="14">
        <f>IF($A258="","",IF(AND($C258=$J258,$D258=$K258),1,0))</f>
        <v/>
      </c>
      <c r="N258" s="14">
        <f>IF($A258="","",IFERROR(IF(INDEX(TICKETS_DATASET!$J$2:$J$301,MATCH($A258,TICKETS_DATASET!$A$2:$A$301,0))="ambigu",1,0),0))</f>
        <v/>
      </c>
      <c r="O258" s="14">
        <f>IF($A258="","",IF(OR($G258&lt;&gt;"",$L258=0,$M258=0),1,0))</f>
        <v/>
      </c>
    </row>
    <row r="259" ht="34" customHeight="1">
      <c r="A259" s="5" t="n"/>
      <c r="B259" s="5" t="n"/>
      <c r="C259" s="5" t="n"/>
      <c r="D259" s="5" t="n"/>
      <c r="E259" s="10" t="n"/>
      <c r="F259" s="11" t="n"/>
      <c r="G259" s="12" t="n"/>
      <c r="H259" s="12" t="n"/>
      <c r="I259" s="13">
        <f>IFERROR(INDEX(TICKETS_DATASET!$G$2:$G$301,MATCH($A259,TICKETS_DATASET!$A$2:$A$301,0)),"")</f>
        <v/>
      </c>
      <c r="J259" s="13">
        <f>IFERROR(INDEX(TICKETS_DATASET!$D$2:$D$301,MATCH($A259,TICKETS_DATASET!$A$2:$A$301,0)),"")</f>
        <v/>
      </c>
      <c r="K259" s="13">
        <f>IFERROR(INDEX(TICKETS_DATASET!$E$2:$E$301,MATCH($A259,TICKETS_DATASET!$A$2:$A$301,0)),"")</f>
        <v/>
      </c>
      <c r="L259" s="14">
        <f>IF($A259="","",IF($B259=$I259,1,0))</f>
        <v/>
      </c>
      <c r="M259" s="14">
        <f>IF($A259="","",IF(AND($C259=$J259,$D259=$K259),1,0))</f>
        <v/>
      </c>
      <c r="N259" s="14">
        <f>IF($A259="","",IFERROR(IF(INDEX(TICKETS_DATASET!$J$2:$J$301,MATCH($A259,TICKETS_DATASET!$A$2:$A$301,0))="ambigu",1,0),0))</f>
        <v/>
      </c>
      <c r="O259" s="14">
        <f>IF($A259="","",IF(OR($G259&lt;&gt;"",$L259=0,$M259=0),1,0))</f>
        <v/>
      </c>
    </row>
    <row r="260" ht="34" customHeight="1">
      <c r="A260" s="5" t="n"/>
      <c r="B260" s="5" t="n"/>
      <c r="C260" s="5" t="n"/>
      <c r="D260" s="5" t="n"/>
      <c r="E260" s="10" t="n"/>
      <c r="F260" s="11" t="n"/>
      <c r="G260" s="12" t="n"/>
      <c r="H260" s="12" t="n"/>
      <c r="I260" s="13">
        <f>IFERROR(INDEX(TICKETS_DATASET!$G$2:$G$301,MATCH($A260,TICKETS_DATASET!$A$2:$A$301,0)),"")</f>
        <v/>
      </c>
      <c r="J260" s="13">
        <f>IFERROR(INDEX(TICKETS_DATASET!$D$2:$D$301,MATCH($A260,TICKETS_DATASET!$A$2:$A$301,0)),"")</f>
        <v/>
      </c>
      <c r="K260" s="13">
        <f>IFERROR(INDEX(TICKETS_DATASET!$E$2:$E$301,MATCH($A260,TICKETS_DATASET!$A$2:$A$301,0)),"")</f>
        <v/>
      </c>
      <c r="L260" s="14">
        <f>IF($A260="","",IF($B260=$I260,1,0))</f>
        <v/>
      </c>
      <c r="M260" s="14">
        <f>IF($A260="","",IF(AND($C260=$J260,$D260=$K260),1,0))</f>
        <v/>
      </c>
      <c r="N260" s="14">
        <f>IF($A260="","",IFERROR(IF(INDEX(TICKETS_DATASET!$J$2:$J$301,MATCH($A260,TICKETS_DATASET!$A$2:$A$301,0))="ambigu",1,0),0))</f>
        <v/>
      </c>
      <c r="O260" s="14">
        <f>IF($A260="","",IF(OR($G260&lt;&gt;"",$L260=0,$M260=0),1,0))</f>
        <v/>
      </c>
    </row>
    <row r="261" ht="34" customHeight="1">
      <c r="A261" s="5" t="n"/>
      <c r="B261" s="5" t="n"/>
      <c r="C261" s="5" t="n"/>
      <c r="D261" s="5" t="n"/>
      <c r="E261" s="10" t="n"/>
      <c r="F261" s="11" t="n"/>
      <c r="G261" s="12" t="n"/>
      <c r="H261" s="12" t="n"/>
      <c r="I261" s="13">
        <f>IFERROR(INDEX(TICKETS_DATASET!$G$2:$G$301,MATCH($A261,TICKETS_DATASET!$A$2:$A$301,0)),"")</f>
        <v/>
      </c>
      <c r="J261" s="13">
        <f>IFERROR(INDEX(TICKETS_DATASET!$D$2:$D$301,MATCH($A261,TICKETS_DATASET!$A$2:$A$301,0)),"")</f>
        <v/>
      </c>
      <c r="K261" s="13">
        <f>IFERROR(INDEX(TICKETS_DATASET!$E$2:$E$301,MATCH($A261,TICKETS_DATASET!$A$2:$A$301,0)),"")</f>
        <v/>
      </c>
      <c r="L261" s="14">
        <f>IF($A261="","",IF($B261=$I261,1,0))</f>
        <v/>
      </c>
      <c r="M261" s="14">
        <f>IF($A261="","",IF(AND($C261=$J261,$D261=$K261),1,0))</f>
        <v/>
      </c>
      <c r="N261" s="14">
        <f>IF($A261="","",IFERROR(IF(INDEX(TICKETS_DATASET!$J$2:$J$301,MATCH($A261,TICKETS_DATASET!$A$2:$A$301,0))="ambigu",1,0),0))</f>
        <v/>
      </c>
      <c r="O261" s="14">
        <f>IF($A261="","",IF(OR($G261&lt;&gt;"",$L261=0,$M261=0),1,0))</f>
        <v/>
      </c>
    </row>
    <row r="262" ht="34" customHeight="1">
      <c r="A262" s="5" t="n"/>
      <c r="B262" s="5" t="n"/>
      <c r="C262" s="5" t="n"/>
      <c r="D262" s="5" t="n"/>
      <c r="E262" s="10" t="n"/>
      <c r="F262" s="11" t="n"/>
      <c r="G262" s="12" t="n"/>
      <c r="H262" s="12" t="n"/>
      <c r="I262" s="13">
        <f>IFERROR(INDEX(TICKETS_DATASET!$G$2:$G$301,MATCH($A262,TICKETS_DATASET!$A$2:$A$301,0)),"")</f>
        <v/>
      </c>
      <c r="J262" s="13">
        <f>IFERROR(INDEX(TICKETS_DATASET!$D$2:$D$301,MATCH($A262,TICKETS_DATASET!$A$2:$A$301,0)),"")</f>
        <v/>
      </c>
      <c r="K262" s="13">
        <f>IFERROR(INDEX(TICKETS_DATASET!$E$2:$E$301,MATCH($A262,TICKETS_DATASET!$A$2:$A$301,0)),"")</f>
        <v/>
      </c>
      <c r="L262" s="14">
        <f>IF($A262="","",IF($B262=$I262,1,0))</f>
        <v/>
      </c>
      <c r="M262" s="14">
        <f>IF($A262="","",IF(AND($C262=$J262,$D262=$K262),1,0))</f>
        <v/>
      </c>
      <c r="N262" s="14">
        <f>IF($A262="","",IFERROR(IF(INDEX(TICKETS_DATASET!$J$2:$J$301,MATCH($A262,TICKETS_DATASET!$A$2:$A$301,0))="ambigu",1,0),0))</f>
        <v/>
      </c>
      <c r="O262" s="14">
        <f>IF($A262="","",IF(OR($G262&lt;&gt;"",$L262=0,$M262=0),1,0))</f>
        <v/>
      </c>
    </row>
    <row r="263" ht="34" customHeight="1">
      <c r="A263" s="5" t="n"/>
      <c r="B263" s="5" t="n"/>
      <c r="C263" s="5" t="n"/>
      <c r="D263" s="5" t="n"/>
      <c r="E263" s="10" t="n"/>
      <c r="F263" s="11" t="n"/>
      <c r="G263" s="12" t="n"/>
      <c r="H263" s="12" t="n"/>
      <c r="I263" s="13">
        <f>IFERROR(INDEX(TICKETS_DATASET!$G$2:$G$301,MATCH($A263,TICKETS_DATASET!$A$2:$A$301,0)),"")</f>
        <v/>
      </c>
      <c r="J263" s="13">
        <f>IFERROR(INDEX(TICKETS_DATASET!$D$2:$D$301,MATCH($A263,TICKETS_DATASET!$A$2:$A$301,0)),"")</f>
        <v/>
      </c>
      <c r="K263" s="13">
        <f>IFERROR(INDEX(TICKETS_DATASET!$E$2:$E$301,MATCH($A263,TICKETS_DATASET!$A$2:$A$301,0)),"")</f>
        <v/>
      </c>
      <c r="L263" s="14">
        <f>IF($A263="","",IF($B263=$I263,1,0))</f>
        <v/>
      </c>
      <c r="M263" s="14">
        <f>IF($A263="","",IF(AND($C263=$J263,$D263=$K263),1,0))</f>
        <v/>
      </c>
      <c r="N263" s="14">
        <f>IF($A263="","",IFERROR(IF(INDEX(TICKETS_DATASET!$J$2:$J$301,MATCH($A263,TICKETS_DATASET!$A$2:$A$301,0))="ambigu",1,0),0))</f>
        <v/>
      </c>
      <c r="O263" s="14">
        <f>IF($A263="","",IF(OR($G263&lt;&gt;"",$L263=0,$M263=0),1,0))</f>
        <v/>
      </c>
    </row>
    <row r="264" ht="34" customHeight="1">
      <c r="A264" s="5" t="n"/>
      <c r="B264" s="5" t="n"/>
      <c r="C264" s="5" t="n"/>
      <c r="D264" s="5" t="n"/>
      <c r="E264" s="10" t="n"/>
      <c r="F264" s="11" t="n"/>
      <c r="G264" s="12" t="n"/>
      <c r="H264" s="12" t="n"/>
      <c r="I264" s="13">
        <f>IFERROR(INDEX(TICKETS_DATASET!$G$2:$G$301,MATCH($A264,TICKETS_DATASET!$A$2:$A$301,0)),"")</f>
        <v/>
      </c>
      <c r="J264" s="13">
        <f>IFERROR(INDEX(TICKETS_DATASET!$D$2:$D$301,MATCH($A264,TICKETS_DATASET!$A$2:$A$301,0)),"")</f>
        <v/>
      </c>
      <c r="K264" s="13">
        <f>IFERROR(INDEX(TICKETS_DATASET!$E$2:$E$301,MATCH($A264,TICKETS_DATASET!$A$2:$A$301,0)),"")</f>
        <v/>
      </c>
      <c r="L264" s="14">
        <f>IF($A264="","",IF($B264=$I264,1,0))</f>
        <v/>
      </c>
      <c r="M264" s="14">
        <f>IF($A264="","",IF(AND($C264=$J264,$D264=$K264),1,0))</f>
        <v/>
      </c>
      <c r="N264" s="14">
        <f>IF($A264="","",IFERROR(IF(INDEX(TICKETS_DATASET!$J$2:$J$301,MATCH($A264,TICKETS_DATASET!$A$2:$A$301,0))="ambigu",1,0),0))</f>
        <v/>
      </c>
      <c r="O264" s="14">
        <f>IF($A264="","",IF(OR($G264&lt;&gt;"",$L264=0,$M264=0),1,0))</f>
        <v/>
      </c>
    </row>
    <row r="265" ht="34" customHeight="1">
      <c r="A265" s="5" t="n"/>
      <c r="B265" s="5" t="n"/>
      <c r="C265" s="5" t="n"/>
      <c r="D265" s="5" t="n"/>
      <c r="E265" s="10" t="n"/>
      <c r="F265" s="11" t="n"/>
      <c r="G265" s="12" t="n"/>
      <c r="H265" s="12" t="n"/>
      <c r="I265" s="13">
        <f>IFERROR(INDEX(TICKETS_DATASET!$G$2:$G$301,MATCH($A265,TICKETS_DATASET!$A$2:$A$301,0)),"")</f>
        <v/>
      </c>
      <c r="J265" s="13">
        <f>IFERROR(INDEX(TICKETS_DATASET!$D$2:$D$301,MATCH($A265,TICKETS_DATASET!$A$2:$A$301,0)),"")</f>
        <v/>
      </c>
      <c r="K265" s="13">
        <f>IFERROR(INDEX(TICKETS_DATASET!$E$2:$E$301,MATCH($A265,TICKETS_DATASET!$A$2:$A$301,0)),"")</f>
        <v/>
      </c>
      <c r="L265" s="14">
        <f>IF($A265="","",IF($B265=$I265,1,0))</f>
        <v/>
      </c>
      <c r="M265" s="14">
        <f>IF($A265="","",IF(AND($C265=$J265,$D265=$K265),1,0))</f>
        <v/>
      </c>
      <c r="N265" s="14">
        <f>IF($A265="","",IFERROR(IF(INDEX(TICKETS_DATASET!$J$2:$J$301,MATCH($A265,TICKETS_DATASET!$A$2:$A$301,0))="ambigu",1,0),0))</f>
        <v/>
      </c>
      <c r="O265" s="14">
        <f>IF($A265="","",IF(OR($G265&lt;&gt;"",$L265=0,$M265=0),1,0))</f>
        <v/>
      </c>
    </row>
    <row r="266" ht="34" customHeight="1">
      <c r="A266" s="5" t="n"/>
      <c r="B266" s="5" t="n"/>
      <c r="C266" s="5" t="n"/>
      <c r="D266" s="5" t="n"/>
      <c r="E266" s="10" t="n"/>
      <c r="F266" s="11" t="n"/>
      <c r="G266" s="12" t="n"/>
      <c r="H266" s="12" t="n"/>
      <c r="I266" s="13">
        <f>IFERROR(INDEX(TICKETS_DATASET!$G$2:$G$301,MATCH($A266,TICKETS_DATASET!$A$2:$A$301,0)),"")</f>
        <v/>
      </c>
      <c r="J266" s="13">
        <f>IFERROR(INDEX(TICKETS_DATASET!$D$2:$D$301,MATCH($A266,TICKETS_DATASET!$A$2:$A$301,0)),"")</f>
        <v/>
      </c>
      <c r="K266" s="13">
        <f>IFERROR(INDEX(TICKETS_DATASET!$E$2:$E$301,MATCH($A266,TICKETS_DATASET!$A$2:$A$301,0)),"")</f>
        <v/>
      </c>
      <c r="L266" s="14">
        <f>IF($A266="","",IF($B266=$I266,1,0))</f>
        <v/>
      </c>
      <c r="M266" s="14">
        <f>IF($A266="","",IF(AND($C266=$J266,$D266=$K266),1,0))</f>
        <v/>
      </c>
      <c r="N266" s="14">
        <f>IF($A266="","",IFERROR(IF(INDEX(TICKETS_DATASET!$J$2:$J$301,MATCH($A266,TICKETS_DATASET!$A$2:$A$301,0))="ambigu",1,0),0))</f>
        <v/>
      </c>
      <c r="O266" s="14">
        <f>IF($A266="","",IF(OR($G266&lt;&gt;"",$L266=0,$M266=0),1,0))</f>
        <v/>
      </c>
    </row>
    <row r="267" ht="34" customHeight="1">
      <c r="A267" s="5" t="n"/>
      <c r="B267" s="5" t="n"/>
      <c r="C267" s="5" t="n"/>
      <c r="D267" s="5" t="n"/>
      <c r="E267" s="10" t="n"/>
      <c r="F267" s="11" t="n"/>
      <c r="G267" s="12" t="n"/>
      <c r="H267" s="12" t="n"/>
      <c r="I267" s="13">
        <f>IFERROR(INDEX(TICKETS_DATASET!$G$2:$G$301,MATCH($A267,TICKETS_DATASET!$A$2:$A$301,0)),"")</f>
        <v/>
      </c>
      <c r="J267" s="13">
        <f>IFERROR(INDEX(TICKETS_DATASET!$D$2:$D$301,MATCH($A267,TICKETS_DATASET!$A$2:$A$301,0)),"")</f>
        <v/>
      </c>
      <c r="K267" s="13">
        <f>IFERROR(INDEX(TICKETS_DATASET!$E$2:$E$301,MATCH($A267,TICKETS_DATASET!$A$2:$A$301,0)),"")</f>
        <v/>
      </c>
      <c r="L267" s="14">
        <f>IF($A267="","",IF($B267=$I267,1,0))</f>
        <v/>
      </c>
      <c r="M267" s="14">
        <f>IF($A267="","",IF(AND($C267=$J267,$D267=$K267),1,0))</f>
        <v/>
      </c>
      <c r="N267" s="14">
        <f>IF($A267="","",IFERROR(IF(INDEX(TICKETS_DATASET!$J$2:$J$301,MATCH($A267,TICKETS_DATASET!$A$2:$A$301,0))="ambigu",1,0),0))</f>
        <v/>
      </c>
      <c r="O267" s="14">
        <f>IF($A267="","",IF(OR($G267&lt;&gt;"",$L267=0,$M267=0),1,0))</f>
        <v/>
      </c>
    </row>
    <row r="268" ht="34" customHeight="1">
      <c r="A268" s="5" t="n"/>
      <c r="B268" s="5" t="n"/>
      <c r="C268" s="5" t="n"/>
      <c r="D268" s="5" t="n"/>
      <c r="E268" s="10" t="n"/>
      <c r="F268" s="11" t="n"/>
      <c r="G268" s="12" t="n"/>
      <c r="H268" s="12" t="n"/>
      <c r="I268" s="13">
        <f>IFERROR(INDEX(TICKETS_DATASET!$G$2:$G$301,MATCH($A268,TICKETS_DATASET!$A$2:$A$301,0)),"")</f>
        <v/>
      </c>
      <c r="J268" s="13">
        <f>IFERROR(INDEX(TICKETS_DATASET!$D$2:$D$301,MATCH($A268,TICKETS_DATASET!$A$2:$A$301,0)),"")</f>
        <v/>
      </c>
      <c r="K268" s="13">
        <f>IFERROR(INDEX(TICKETS_DATASET!$E$2:$E$301,MATCH($A268,TICKETS_DATASET!$A$2:$A$301,0)),"")</f>
        <v/>
      </c>
      <c r="L268" s="14">
        <f>IF($A268="","",IF($B268=$I268,1,0))</f>
        <v/>
      </c>
      <c r="M268" s="14">
        <f>IF($A268="","",IF(AND($C268=$J268,$D268=$K268),1,0))</f>
        <v/>
      </c>
      <c r="N268" s="14">
        <f>IF($A268="","",IFERROR(IF(INDEX(TICKETS_DATASET!$J$2:$J$301,MATCH($A268,TICKETS_DATASET!$A$2:$A$301,0))="ambigu",1,0),0))</f>
        <v/>
      </c>
      <c r="O268" s="14">
        <f>IF($A268="","",IF(OR($G268&lt;&gt;"",$L268=0,$M268=0),1,0))</f>
        <v/>
      </c>
    </row>
    <row r="269" ht="34" customHeight="1">
      <c r="A269" s="5" t="n"/>
      <c r="B269" s="5" t="n"/>
      <c r="C269" s="5" t="n"/>
      <c r="D269" s="5" t="n"/>
      <c r="E269" s="10" t="n"/>
      <c r="F269" s="11" t="n"/>
      <c r="G269" s="12" t="n"/>
      <c r="H269" s="12" t="n"/>
      <c r="I269" s="13">
        <f>IFERROR(INDEX(TICKETS_DATASET!$G$2:$G$301,MATCH($A269,TICKETS_DATASET!$A$2:$A$301,0)),"")</f>
        <v/>
      </c>
      <c r="J269" s="13">
        <f>IFERROR(INDEX(TICKETS_DATASET!$D$2:$D$301,MATCH($A269,TICKETS_DATASET!$A$2:$A$301,0)),"")</f>
        <v/>
      </c>
      <c r="K269" s="13">
        <f>IFERROR(INDEX(TICKETS_DATASET!$E$2:$E$301,MATCH($A269,TICKETS_DATASET!$A$2:$A$301,0)),"")</f>
        <v/>
      </c>
      <c r="L269" s="14">
        <f>IF($A269="","",IF($B269=$I269,1,0))</f>
        <v/>
      </c>
      <c r="M269" s="14">
        <f>IF($A269="","",IF(AND($C269=$J269,$D269=$K269),1,0))</f>
        <v/>
      </c>
      <c r="N269" s="14">
        <f>IF($A269="","",IFERROR(IF(INDEX(TICKETS_DATASET!$J$2:$J$301,MATCH($A269,TICKETS_DATASET!$A$2:$A$301,0))="ambigu",1,0),0))</f>
        <v/>
      </c>
      <c r="O269" s="14">
        <f>IF($A269="","",IF(OR($G269&lt;&gt;"",$L269=0,$M269=0),1,0))</f>
        <v/>
      </c>
    </row>
    <row r="270" ht="34" customHeight="1">
      <c r="A270" s="5" t="n"/>
      <c r="B270" s="5" t="n"/>
      <c r="C270" s="5" t="n"/>
      <c r="D270" s="5" t="n"/>
      <c r="E270" s="10" t="n"/>
      <c r="F270" s="11" t="n"/>
      <c r="G270" s="12" t="n"/>
      <c r="H270" s="12" t="n"/>
      <c r="I270" s="13">
        <f>IFERROR(INDEX(TICKETS_DATASET!$G$2:$G$301,MATCH($A270,TICKETS_DATASET!$A$2:$A$301,0)),"")</f>
        <v/>
      </c>
      <c r="J270" s="13">
        <f>IFERROR(INDEX(TICKETS_DATASET!$D$2:$D$301,MATCH($A270,TICKETS_DATASET!$A$2:$A$301,0)),"")</f>
        <v/>
      </c>
      <c r="K270" s="13">
        <f>IFERROR(INDEX(TICKETS_DATASET!$E$2:$E$301,MATCH($A270,TICKETS_DATASET!$A$2:$A$301,0)),"")</f>
        <v/>
      </c>
      <c r="L270" s="14">
        <f>IF($A270="","",IF($B270=$I270,1,0))</f>
        <v/>
      </c>
      <c r="M270" s="14">
        <f>IF($A270="","",IF(AND($C270=$J270,$D270=$K270),1,0))</f>
        <v/>
      </c>
      <c r="N270" s="14">
        <f>IF($A270="","",IFERROR(IF(INDEX(TICKETS_DATASET!$J$2:$J$301,MATCH($A270,TICKETS_DATASET!$A$2:$A$301,0))="ambigu",1,0),0))</f>
        <v/>
      </c>
      <c r="O270" s="14">
        <f>IF($A270="","",IF(OR($G270&lt;&gt;"",$L270=0,$M270=0),1,0))</f>
        <v/>
      </c>
    </row>
    <row r="271" ht="34" customHeight="1">
      <c r="A271" s="5" t="n"/>
      <c r="B271" s="5" t="n"/>
      <c r="C271" s="5" t="n"/>
      <c r="D271" s="5" t="n"/>
      <c r="E271" s="10" t="n"/>
      <c r="F271" s="11" t="n"/>
      <c r="G271" s="12" t="n"/>
      <c r="H271" s="12" t="n"/>
      <c r="I271" s="13">
        <f>IFERROR(INDEX(TICKETS_DATASET!$G$2:$G$301,MATCH($A271,TICKETS_DATASET!$A$2:$A$301,0)),"")</f>
        <v/>
      </c>
      <c r="J271" s="13">
        <f>IFERROR(INDEX(TICKETS_DATASET!$D$2:$D$301,MATCH($A271,TICKETS_DATASET!$A$2:$A$301,0)),"")</f>
        <v/>
      </c>
      <c r="K271" s="13">
        <f>IFERROR(INDEX(TICKETS_DATASET!$E$2:$E$301,MATCH($A271,TICKETS_DATASET!$A$2:$A$301,0)),"")</f>
        <v/>
      </c>
      <c r="L271" s="14">
        <f>IF($A271="","",IF($B271=$I271,1,0))</f>
        <v/>
      </c>
      <c r="M271" s="14">
        <f>IF($A271="","",IF(AND($C271=$J271,$D271=$K271),1,0))</f>
        <v/>
      </c>
      <c r="N271" s="14">
        <f>IF($A271="","",IFERROR(IF(INDEX(TICKETS_DATASET!$J$2:$J$301,MATCH($A271,TICKETS_DATASET!$A$2:$A$301,0))="ambigu",1,0),0))</f>
        <v/>
      </c>
      <c r="O271" s="14">
        <f>IF($A271="","",IF(OR($G271&lt;&gt;"",$L271=0,$M271=0),1,0))</f>
        <v/>
      </c>
    </row>
    <row r="272" ht="34" customHeight="1">
      <c r="A272" s="5" t="n"/>
      <c r="B272" s="5" t="n"/>
      <c r="C272" s="5" t="n"/>
      <c r="D272" s="5" t="n"/>
      <c r="E272" s="10" t="n"/>
      <c r="F272" s="11" t="n"/>
      <c r="G272" s="12" t="n"/>
      <c r="H272" s="12" t="n"/>
      <c r="I272" s="13">
        <f>IFERROR(INDEX(TICKETS_DATASET!$G$2:$G$301,MATCH($A272,TICKETS_DATASET!$A$2:$A$301,0)),"")</f>
        <v/>
      </c>
      <c r="J272" s="13">
        <f>IFERROR(INDEX(TICKETS_DATASET!$D$2:$D$301,MATCH($A272,TICKETS_DATASET!$A$2:$A$301,0)),"")</f>
        <v/>
      </c>
      <c r="K272" s="13">
        <f>IFERROR(INDEX(TICKETS_DATASET!$E$2:$E$301,MATCH($A272,TICKETS_DATASET!$A$2:$A$301,0)),"")</f>
        <v/>
      </c>
      <c r="L272" s="14">
        <f>IF($A272="","",IF($B272=$I272,1,0))</f>
        <v/>
      </c>
      <c r="M272" s="14">
        <f>IF($A272="","",IF(AND($C272=$J272,$D272=$K272),1,0))</f>
        <v/>
      </c>
      <c r="N272" s="14">
        <f>IF($A272="","",IFERROR(IF(INDEX(TICKETS_DATASET!$J$2:$J$301,MATCH($A272,TICKETS_DATASET!$A$2:$A$301,0))="ambigu",1,0),0))</f>
        <v/>
      </c>
      <c r="O272" s="14">
        <f>IF($A272="","",IF(OR($G272&lt;&gt;"",$L272=0,$M272=0),1,0))</f>
        <v/>
      </c>
    </row>
    <row r="273" ht="34" customHeight="1">
      <c r="A273" s="5" t="n"/>
      <c r="B273" s="5" t="n"/>
      <c r="C273" s="5" t="n"/>
      <c r="D273" s="5" t="n"/>
      <c r="E273" s="10" t="n"/>
      <c r="F273" s="11" t="n"/>
      <c r="G273" s="12" t="n"/>
      <c r="H273" s="12" t="n"/>
      <c r="I273" s="13">
        <f>IFERROR(INDEX(TICKETS_DATASET!$G$2:$G$301,MATCH($A273,TICKETS_DATASET!$A$2:$A$301,0)),"")</f>
        <v/>
      </c>
      <c r="J273" s="13">
        <f>IFERROR(INDEX(TICKETS_DATASET!$D$2:$D$301,MATCH($A273,TICKETS_DATASET!$A$2:$A$301,0)),"")</f>
        <v/>
      </c>
      <c r="K273" s="13">
        <f>IFERROR(INDEX(TICKETS_DATASET!$E$2:$E$301,MATCH($A273,TICKETS_DATASET!$A$2:$A$301,0)),"")</f>
        <v/>
      </c>
      <c r="L273" s="14">
        <f>IF($A273="","",IF($B273=$I273,1,0))</f>
        <v/>
      </c>
      <c r="M273" s="14">
        <f>IF($A273="","",IF(AND($C273=$J273,$D273=$K273),1,0))</f>
        <v/>
      </c>
      <c r="N273" s="14">
        <f>IF($A273="","",IFERROR(IF(INDEX(TICKETS_DATASET!$J$2:$J$301,MATCH($A273,TICKETS_DATASET!$A$2:$A$301,0))="ambigu",1,0),0))</f>
        <v/>
      </c>
      <c r="O273" s="14">
        <f>IF($A273="","",IF(OR($G273&lt;&gt;"",$L273=0,$M273=0),1,0))</f>
        <v/>
      </c>
    </row>
    <row r="274" ht="34" customHeight="1">
      <c r="A274" s="5" t="n"/>
      <c r="B274" s="5" t="n"/>
      <c r="C274" s="5" t="n"/>
      <c r="D274" s="5" t="n"/>
      <c r="E274" s="10" t="n"/>
      <c r="F274" s="11" t="n"/>
      <c r="G274" s="12" t="n"/>
      <c r="H274" s="12" t="n"/>
      <c r="I274" s="13">
        <f>IFERROR(INDEX(TICKETS_DATASET!$G$2:$G$301,MATCH($A274,TICKETS_DATASET!$A$2:$A$301,0)),"")</f>
        <v/>
      </c>
      <c r="J274" s="13">
        <f>IFERROR(INDEX(TICKETS_DATASET!$D$2:$D$301,MATCH($A274,TICKETS_DATASET!$A$2:$A$301,0)),"")</f>
        <v/>
      </c>
      <c r="K274" s="13">
        <f>IFERROR(INDEX(TICKETS_DATASET!$E$2:$E$301,MATCH($A274,TICKETS_DATASET!$A$2:$A$301,0)),"")</f>
        <v/>
      </c>
      <c r="L274" s="14">
        <f>IF($A274="","",IF($B274=$I274,1,0))</f>
        <v/>
      </c>
      <c r="M274" s="14">
        <f>IF($A274="","",IF(AND($C274=$J274,$D274=$K274),1,0))</f>
        <v/>
      </c>
      <c r="N274" s="14">
        <f>IF($A274="","",IFERROR(IF(INDEX(TICKETS_DATASET!$J$2:$J$301,MATCH($A274,TICKETS_DATASET!$A$2:$A$301,0))="ambigu",1,0),0))</f>
        <v/>
      </c>
      <c r="O274" s="14">
        <f>IF($A274="","",IF(OR($G274&lt;&gt;"",$L274=0,$M274=0),1,0))</f>
        <v/>
      </c>
    </row>
    <row r="275" ht="34" customHeight="1">
      <c r="A275" s="5" t="n"/>
      <c r="B275" s="5" t="n"/>
      <c r="C275" s="5" t="n"/>
      <c r="D275" s="5" t="n"/>
      <c r="E275" s="10" t="n"/>
      <c r="F275" s="11" t="n"/>
      <c r="G275" s="12" t="n"/>
      <c r="H275" s="12" t="n"/>
      <c r="I275" s="13">
        <f>IFERROR(INDEX(TICKETS_DATASET!$G$2:$G$301,MATCH($A275,TICKETS_DATASET!$A$2:$A$301,0)),"")</f>
        <v/>
      </c>
      <c r="J275" s="13">
        <f>IFERROR(INDEX(TICKETS_DATASET!$D$2:$D$301,MATCH($A275,TICKETS_DATASET!$A$2:$A$301,0)),"")</f>
        <v/>
      </c>
      <c r="K275" s="13">
        <f>IFERROR(INDEX(TICKETS_DATASET!$E$2:$E$301,MATCH($A275,TICKETS_DATASET!$A$2:$A$301,0)),"")</f>
        <v/>
      </c>
      <c r="L275" s="14">
        <f>IF($A275="","",IF($B275=$I275,1,0))</f>
        <v/>
      </c>
      <c r="M275" s="14">
        <f>IF($A275="","",IF(AND($C275=$J275,$D275=$K275),1,0))</f>
        <v/>
      </c>
      <c r="N275" s="14">
        <f>IF($A275="","",IFERROR(IF(INDEX(TICKETS_DATASET!$J$2:$J$301,MATCH($A275,TICKETS_DATASET!$A$2:$A$301,0))="ambigu",1,0),0))</f>
        <v/>
      </c>
      <c r="O275" s="14">
        <f>IF($A275="","",IF(OR($G275&lt;&gt;"",$L275=0,$M275=0),1,0))</f>
        <v/>
      </c>
    </row>
    <row r="276" ht="34" customHeight="1">
      <c r="A276" s="5" t="n"/>
      <c r="B276" s="5" t="n"/>
      <c r="C276" s="5" t="n"/>
      <c r="D276" s="5" t="n"/>
      <c r="E276" s="10" t="n"/>
      <c r="F276" s="11" t="n"/>
      <c r="G276" s="12" t="n"/>
      <c r="H276" s="12" t="n"/>
      <c r="I276" s="13">
        <f>IFERROR(INDEX(TICKETS_DATASET!$G$2:$G$301,MATCH($A276,TICKETS_DATASET!$A$2:$A$301,0)),"")</f>
        <v/>
      </c>
      <c r="J276" s="13">
        <f>IFERROR(INDEX(TICKETS_DATASET!$D$2:$D$301,MATCH($A276,TICKETS_DATASET!$A$2:$A$301,0)),"")</f>
        <v/>
      </c>
      <c r="K276" s="13">
        <f>IFERROR(INDEX(TICKETS_DATASET!$E$2:$E$301,MATCH($A276,TICKETS_DATASET!$A$2:$A$301,0)),"")</f>
        <v/>
      </c>
      <c r="L276" s="14">
        <f>IF($A276="","",IF($B276=$I276,1,0))</f>
        <v/>
      </c>
      <c r="M276" s="14">
        <f>IF($A276="","",IF(AND($C276=$J276,$D276=$K276),1,0))</f>
        <v/>
      </c>
      <c r="N276" s="14">
        <f>IF($A276="","",IFERROR(IF(INDEX(TICKETS_DATASET!$J$2:$J$301,MATCH($A276,TICKETS_DATASET!$A$2:$A$301,0))="ambigu",1,0),0))</f>
        <v/>
      </c>
      <c r="O276" s="14">
        <f>IF($A276="","",IF(OR($G276&lt;&gt;"",$L276=0,$M276=0),1,0))</f>
        <v/>
      </c>
    </row>
    <row r="277" ht="34" customHeight="1">
      <c r="A277" s="5" t="n"/>
      <c r="B277" s="5" t="n"/>
      <c r="C277" s="5" t="n"/>
      <c r="D277" s="5" t="n"/>
      <c r="E277" s="10" t="n"/>
      <c r="F277" s="11" t="n"/>
      <c r="G277" s="12" t="n"/>
      <c r="H277" s="12" t="n"/>
      <c r="I277" s="13">
        <f>IFERROR(INDEX(TICKETS_DATASET!$G$2:$G$301,MATCH($A277,TICKETS_DATASET!$A$2:$A$301,0)),"")</f>
        <v/>
      </c>
      <c r="J277" s="13">
        <f>IFERROR(INDEX(TICKETS_DATASET!$D$2:$D$301,MATCH($A277,TICKETS_DATASET!$A$2:$A$301,0)),"")</f>
        <v/>
      </c>
      <c r="K277" s="13">
        <f>IFERROR(INDEX(TICKETS_DATASET!$E$2:$E$301,MATCH($A277,TICKETS_DATASET!$A$2:$A$301,0)),"")</f>
        <v/>
      </c>
      <c r="L277" s="14">
        <f>IF($A277="","",IF($B277=$I277,1,0))</f>
        <v/>
      </c>
      <c r="M277" s="14">
        <f>IF($A277="","",IF(AND($C277=$J277,$D277=$K277),1,0))</f>
        <v/>
      </c>
      <c r="N277" s="14">
        <f>IF($A277="","",IFERROR(IF(INDEX(TICKETS_DATASET!$J$2:$J$301,MATCH($A277,TICKETS_DATASET!$A$2:$A$301,0))="ambigu",1,0),0))</f>
        <v/>
      </c>
      <c r="O277" s="14">
        <f>IF($A277="","",IF(OR($G277&lt;&gt;"",$L277=0,$M277=0),1,0))</f>
        <v/>
      </c>
    </row>
    <row r="278" ht="34" customHeight="1">
      <c r="A278" s="5" t="n"/>
      <c r="B278" s="5" t="n"/>
      <c r="C278" s="5" t="n"/>
      <c r="D278" s="5" t="n"/>
      <c r="E278" s="10" t="n"/>
      <c r="F278" s="11" t="n"/>
      <c r="G278" s="12" t="n"/>
      <c r="H278" s="12" t="n"/>
      <c r="I278" s="13">
        <f>IFERROR(INDEX(TICKETS_DATASET!$G$2:$G$301,MATCH($A278,TICKETS_DATASET!$A$2:$A$301,0)),"")</f>
        <v/>
      </c>
      <c r="J278" s="13">
        <f>IFERROR(INDEX(TICKETS_DATASET!$D$2:$D$301,MATCH($A278,TICKETS_DATASET!$A$2:$A$301,0)),"")</f>
        <v/>
      </c>
      <c r="K278" s="13">
        <f>IFERROR(INDEX(TICKETS_DATASET!$E$2:$E$301,MATCH($A278,TICKETS_DATASET!$A$2:$A$301,0)),"")</f>
        <v/>
      </c>
      <c r="L278" s="14">
        <f>IF($A278="","",IF($B278=$I278,1,0))</f>
        <v/>
      </c>
      <c r="M278" s="14">
        <f>IF($A278="","",IF(AND($C278=$J278,$D278=$K278),1,0))</f>
        <v/>
      </c>
      <c r="N278" s="14">
        <f>IF($A278="","",IFERROR(IF(INDEX(TICKETS_DATASET!$J$2:$J$301,MATCH($A278,TICKETS_DATASET!$A$2:$A$301,0))="ambigu",1,0),0))</f>
        <v/>
      </c>
      <c r="O278" s="14">
        <f>IF($A278="","",IF(OR($G278&lt;&gt;"",$L278=0,$M278=0),1,0))</f>
        <v/>
      </c>
    </row>
    <row r="279" ht="34" customHeight="1">
      <c r="A279" s="5" t="n"/>
      <c r="B279" s="5" t="n"/>
      <c r="C279" s="5" t="n"/>
      <c r="D279" s="5" t="n"/>
      <c r="E279" s="10" t="n"/>
      <c r="F279" s="11" t="n"/>
      <c r="G279" s="12" t="n"/>
      <c r="H279" s="12" t="n"/>
      <c r="I279" s="13">
        <f>IFERROR(INDEX(TICKETS_DATASET!$G$2:$G$301,MATCH($A279,TICKETS_DATASET!$A$2:$A$301,0)),"")</f>
        <v/>
      </c>
      <c r="J279" s="13">
        <f>IFERROR(INDEX(TICKETS_DATASET!$D$2:$D$301,MATCH($A279,TICKETS_DATASET!$A$2:$A$301,0)),"")</f>
        <v/>
      </c>
      <c r="K279" s="13">
        <f>IFERROR(INDEX(TICKETS_DATASET!$E$2:$E$301,MATCH($A279,TICKETS_DATASET!$A$2:$A$301,0)),"")</f>
        <v/>
      </c>
      <c r="L279" s="14">
        <f>IF($A279="","",IF($B279=$I279,1,0))</f>
        <v/>
      </c>
      <c r="M279" s="14">
        <f>IF($A279="","",IF(AND($C279=$J279,$D279=$K279),1,0))</f>
        <v/>
      </c>
      <c r="N279" s="14">
        <f>IF($A279="","",IFERROR(IF(INDEX(TICKETS_DATASET!$J$2:$J$301,MATCH($A279,TICKETS_DATASET!$A$2:$A$301,0))="ambigu",1,0),0))</f>
        <v/>
      </c>
      <c r="O279" s="14">
        <f>IF($A279="","",IF(OR($G279&lt;&gt;"",$L279=0,$M279=0),1,0))</f>
        <v/>
      </c>
    </row>
    <row r="280" ht="34" customHeight="1">
      <c r="A280" s="5" t="n"/>
      <c r="B280" s="5" t="n"/>
      <c r="C280" s="5" t="n"/>
      <c r="D280" s="5" t="n"/>
      <c r="E280" s="10" t="n"/>
      <c r="F280" s="11" t="n"/>
      <c r="G280" s="12" t="n"/>
      <c r="H280" s="12" t="n"/>
      <c r="I280" s="13">
        <f>IFERROR(INDEX(TICKETS_DATASET!$G$2:$G$301,MATCH($A280,TICKETS_DATASET!$A$2:$A$301,0)),"")</f>
        <v/>
      </c>
      <c r="J280" s="13">
        <f>IFERROR(INDEX(TICKETS_DATASET!$D$2:$D$301,MATCH($A280,TICKETS_DATASET!$A$2:$A$301,0)),"")</f>
        <v/>
      </c>
      <c r="K280" s="13">
        <f>IFERROR(INDEX(TICKETS_DATASET!$E$2:$E$301,MATCH($A280,TICKETS_DATASET!$A$2:$A$301,0)),"")</f>
        <v/>
      </c>
      <c r="L280" s="14">
        <f>IF($A280="","",IF($B280=$I280,1,0))</f>
        <v/>
      </c>
      <c r="M280" s="14">
        <f>IF($A280="","",IF(AND($C280=$J280,$D280=$K280),1,0))</f>
        <v/>
      </c>
      <c r="N280" s="14">
        <f>IF($A280="","",IFERROR(IF(INDEX(TICKETS_DATASET!$J$2:$J$301,MATCH($A280,TICKETS_DATASET!$A$2:$A$301,0))="ambigu",1,0),0))</f>
        <v/>
      </c>
      <c r="O280" s="14">
        <f>IF($A280="","",IF(OR($G280&lt;&gt;"",$L280=0,$M280=0),1,0))</f>
        <v/>
      </c>
    </row>
    <row r="281" ht="34" customHeight="1">
      <c r="A281" s="5" t="n"/>
      <c r="B281" s="5" t="n"/>
      <c r="C281" s="5" t="n"/>
      <c r="D281" s="5" t="n"/>
      <c r="E281" s="10" t="n"/>
      <c r="F281" s="11" t="n"/>
      <c r="G281" s="12" t="n"/>
      <c r="H281" s="12" t="n"/>
      <c r="I281" s="13">
        <f>IFERROR(INDEX(TICKETS_DATASET!$G$2:$G$301,MATCH($A281,TICKETS_DATASET!$A$2:$A$301,0)),"")</f>
        <v/>
      </c>
      <c r="J281" s="13">
        <f>IFERROR(INDEX(TICKETS_DATASET!$D$2:$D$301,MATCH($A281,TICKETS_DATASET!$A$2:$A$301,0)),"")</f>
        <v/>
      </c>
      <c r="K281" s="13">
        <f>IFERROR(INDEX(TICKETS_DATASET!$E$2:$E$301,MATCH($A281,TICKETS_DATASET!$A$2:$A$301,0)),"")</f>
        <v/>
      </c>
      <c r="L281" s="14">
        <f>IF($A281="","",IF($B281=$I281,1,0))</f>
        <v/>
      </c>
      <c r="M281" s="14">
        <f>IF($A281="","",IF(AND($C281=$J281,$D281=$K281),1,0))</f>
        <v/>
      </c>
      <c r="N281" s="14">
        <f>IF($A281="","",IFERROR(IF(INDEX(TICKETS_DATASET!$J$2:$J$301,MATCH($A281,TICKETS_DATASET!$A$2:$A$301,0))="ambigu",1,0),0))</f>
        <v/>
      </c>
      <c r="O281" s="14">
        <f>IF($A281="","",IF(OR($G281&lt;&gt;"",$L281=0,$M281=0),1,0))</f>
        <v/>
      </c>
    </row>
    <row r="282" ht="34" customHeight="1">
      <c r="A282" s="5" t="n"/>
      <c r="B282" s="5" t="n"/>
      <c r="C282" s="5" t="n"/>
      <c r="D282" s="5" t="n"/>
      <c r="E282" s="10" t="n"/>
      <c r="F282" s="11" t="n"/>
      <c r="G282" s="12" t="n"/>
      <c r="H282" s="12" t="n"/>
      <c r="I282" s="13">
        <f>IFERROR(INDEX(TICKETS_DATASET!$G$2:$G$301,MATCH($A282,TICKETS_DATASET!$A$2:$A$301,0)),"")</f>
        <v/>
      </c>
      <c r="J282" s="13">
        <f>IFERROR(INDEX(TICKETS_DATASET!$D$2:$D$301,MATCH($A282,TICKETS_DATASET!$A$2:$A$301,0)),"")</f>
        <v/>
      </c>
      <c r="K282" s="13">
        <f>IFERROR(INDEX(TICKETS_DATASET!$E$2:$E$301,MATCH($A282,TICKETS_DATASET!$A$2:$A$301,0)),"")</f>
        <v/>
      </c>
      <c r="L282" s="14">
        <f>IF($A282="","",IF($B282=$I282,1,0))</f>
        <v/>
      </c>
      <c r="M282" s="14">
        <f>IF($A282="","",IF(AND($C282=$J282,$D282=$K282),1,0))</f>
        <v/>
      </c>
      <c r="N282" s="14">
        <f>IF($A282="","",IFERROR(IF(INDEX(TICKETS_DATASET!$J$2:$J$301,MATCH($A282,TICKETS_DATASET!$A$2:$A$301,0))="ambigu",1,0),0))</f>
        <v/>
      </c>
      <c r="O282" s="14">
        <f>IF($A282="","",IF(OR($G282&lt;&gt;"",$L282=0,$M282=0),1,0))</f>
        <v/>
      </c>
    </row>
    <row r="283" ht="34" customHeight="1">
      <c r="A283" s="5" t="n"/>
      <c r="B283" s="5" t="n"/>
      <c r="C283" s="5" t="n"/>
      <c r="D283" s="5" t="n"/>
      <c r="E283" s="10" t="n"/>
      <c r="F283" s="11" t="n"/>
      <c r="G283" s="12" t="n"/>
      <c r="H283" s="12" t="n"/>
      <c r="I283" s="13">
        <f>IFERROR(INDEX(TICKETS_DATASET!$G$2:$G$301,MATCH($A283,TICKETS_DATASET!$A$2:$A$301,0)),"")</f>
        <v/>
      </c>
      <c r="J283" s="13">
        <f>IFERROR(INDEX(TICKETS_DATASET!$D$2:$D$301,MATCH($A283,TICKETS_DATASET!$A$2:$A$301,0)),"")</f>
        <v/>
      </c>
      <c r="K283" s="13">
        <f>IFERROR(INDEX(TICKETS_DATASET!$E$2:$E$301,MATCH($A283,TICKETS_DATASET!$A$2:$A$301,0)),"")</f>
        <v/>
      </c>
      <c r="L283" s="14">
        <f>IF($A283="","",IF($B283=$I283,1,0))</f>
        <v/>
      </c>
      <c r="M283" s="14">
        <f>IF($A283="","",IF(AND($C283=$J283,$D283=$K283),1,0))</f>
        <v/>
      </c>
      <c r="N283" s="14">
        <f>IF($A283="","",IFERROR(IF(INDEX(TICKETS_DATASET!$J$2:$J$301,MATCH($A283,TICKETS_DATASET!$A$2:$A$301,0))="ambigu",1,0),0))</f>
        <v/>
      </c>
      <c r="O283" s="14">
        <f>IF($A283="","",IF(OR($G283&lt;&gt;"",$L283=0,$M283=0),1,0))</f>
        <v/>
      </c>
    </row>
    <row r="284" ht="34" customHeight="1">
      <c r="A284" s="5" t="n"/>
      <c r="B284" s="5" t="n"/>
      <c r="C284" s="5" t="n"/>
      <c r="D284" s="5" t="n"/>
      <c r="E284" s="10" t="n"/>
      <c r="F284" s="11" t="n"/>
      <c r="G284" s="12" t="n"/>
      <c r="H284" s="12" t="n"/>
      <c r="I284" s="13">
        <f>IFERROR(INDEX(TICKETS_DATASET!$G$2:$G$301,MATCH($A284,TICKETS_DATASET!$A$2:$A$301,0)),"")</f>
        <v/>
      </c>
      <c r="J284" s="13">
        <f>IFERROR(INDEX(TICKETS_DATASET!$D$2:$D$301,MATCH($A284,TICKETS_DATASET!$A$2:$A$301,0)),"")</f>
        <v/>
      </c>
      <c r="K284" s="13">
        <f>IFERROR(INDEX(TICKETS_DATASET!$E$2:$E$301,MATCH($A284,TICKETS_DATASET!$A$2:$A$301,0)),"")</f>
        <v/>
      </c>
      <c r="L284" s="14">
        <f>IF($A284="","",IF($B284=$I284,1,0))</f>
        <v/>
      </c>
      <c r="M284" s="14">
        <f>IF($A284="","",IF(AND($C284=$J284,$D284=$K284),1,0))</f>
        <v/>
      </c>
      <c r="N284" s="14">
        <f>IF($A284="","",IFERROR(IF(INDEX(TICKETS_DATASET!$J$2:$J$301,MATCH($A284,TICKETS_DATASET!$A$2:$A$301,0))="ambigu",1,0),0))</f>
        <v/>
      </c>
      <c r="O284" s="14">
        <f>IF($A284="","",IF(OR($G284&lt;&gt;"",$L284=0,$M284=0),1,0))</f>
        <v/>
      </c>
    </row>
    <row r="285" ht="34" customHeight="1">
      <c r="A285" s="5" t="n"/>
      <c r="B285" s="5" t="n"/>
      <c r="C285" s="5" t="n"/>
      <c r="D285" s="5" t="n"/>
      <c r="E285" s="10" t="n"/>
      <c r="F285" s="11" t="n"/>
      <c r="G285" s="12" t="n"/>
      <c r="H285" s="12" t="n"/>
      <c r="I285" s="13">
        <f>IFERROR(INDEX(TICKETS_DATASET!$G$2:$G$301,MATCH($A285,TICKETS_DATASET!$A$2:$A$301,0)),"")</f>
        <v/>
      </c>
      <c r="J285" s="13">
        <f>IFERROR(INDEX(TICKETS_DATASET!$D$2:$D$301,MATCH($A285,TICKETS_DATASET!$A$2:$A$301,0)),"")</f>
        <v/>
      </c>
      <c r="K285" s="13">
        <f>IFERROR(INDEX(TICKETS_DATASET!$E$2:$E$301,MATCH($A285,TICKETS_DATASET!$A$2:$A$301,0)),"")</f>
        <v/>
      </c>
      <c r="L285" s="14">
        <f>IF($A285="","",IF($B285=$I285,1,0))</f>
        <v/>
      </c>
      <c r="M285" s="14">
        <f>IF($A285="","",IF(AND($C285=$J285,$D285=$K285),1,0))</f>
        <v/>
      </c>
      <c r="N285" s="14">
        <f>IF($A285="","",IFERROR(IF(INDEX(TICKETS_DATASET!$J$2:$J$301,MATCH($A285,TICKETS_DATASET!$A$2:$A$301,0))="ambigu",1,0),0))</f>
        <v/>
      </c>
      <c r="O285" s="14">
        <f>IF($A285="","",IF(OR($G285&lt;&gt;"",$L285=0,$M285=0),1,0))</f>
        <v/>
      </c>
    </row>
    <row r="286" ht="34" customHeight="1">
      <c r="A286" s="5" t="n"/>
      <c r="B286" s="5" t="n"/>
      <c r="C286" s="5" t="n"/>
      <c r="D286" s="5" t="n"/>
      <c r="E286" s="10" t="n"/>
      <c r="F286" s="11" t="n"/>
      <c r="G286" s="12" t="n"/>
      <c r="H286" s="12" t="n"/>
      <c r="I286" s="13">
        <f>IFERROR(INDEX(TICKETS_DATASET!$G$2:$G$301,MATCH($A286,TICKETS_DATASET!$A$2:$A$301,0)),"")</f>
        <v/>
      </c>
      <c r="J286" s="13">
        <f>IFERROR(INDEX(TICKETS_DATASET!$D$2:$D$301,MATCH($A286,TICKETS_DATASET!$A$2:$A$301,0)),"")</f>
        <v/>
      </c>
      <c r="K286" s="13">
        <f>IFERROR(INDEX(TICKETS_DATASET!$E$2:$E$301,MATCH($A286,TICKETS_DATASET!$A$2:$A$301,0)),"")</f>
        <v/>
      </c>
      <c r="L286" s="14">
        <f>IF($A286="","",IF($B286=$I286,1,0))</f>
        <v/>
      </c>
      <c r="M286" s="14">
        <f>IF($A286="","",IF(AND($C286=$J286,$D286=$K286),1,0))</f>
        <v/>
      </c>
      <c r="N286" s="14">
        <f>IF($A286="","",IFERROR(IF(INDEX(TICKETS_DATASET!$J$2:$J$301,MATCH($A286,TICKETS_DATASET!$A$2:$A$301,0))="ambigu",1,0),0))</f>
        <v/>
      </c>
      <c r="O286" s="14">
        <f>IF($A286="","",IF(OR($G286&lt;&gt;"",$L286=0,$M286=0),1,0))</f>
        <v/>
      </c>
    </row>
    <row r="287" ht="34" customHeight="1">
      <c r="A287" s="5" t="n"/>
      <c r="B287" s="5" t="n"/>
      <c r="C287" s="5" t="n"/>
      <c r="D287" s="5" t="n"/>
      <c r="E287" s="10" t="n"/>
      <c r="F287" s="11" t="n"/>
      <c r="G287" s="12" t="n"/>
      <c r="H287" s="12" t="n"/>
      <c r="I287" s="13">
        <f>IFERROR(INDEX(TICKETS_DATASET!$G$2:$G$301,MATCH($A287,TICKETS_DATASET!$A$2:$A$301,0)),"")</f>
        <v/>
      </c>
      <c r="J287" s="13">
        <f>IFERROR(INDEX(TICKETS_DATASET!$D$2:$D$301,MATCH($A287,TICKETS_DATASET!$A$2:$A$301,0)),"")</f>
        <v/>
      </c>
      <c r="K287" s="13">
        <f>IFERROR(INDEX(TICKETS_DATASET!$E$2:$E$301,MATCH($A287,TICKETS_DATASET!$A$2:$A$301,0)),"")</f>
        <v/>
      </c>
      <c r="L287" s="14">
        <f>IF($A287="","",IF($B287=$I287,1,0))</f>
        <v/>
      </c>
      <c r="M287" s="14">
        <f>IF($A287="","",IF(AND($C287=$J287,$D287=$K287),1,0))</f>
        <v/>
      </c>
      <c r="N287" s="14">
        <f>IF($A287="","",IFERROR(IF(INDEX(TICKETS_DATASET!$J$2:$J$301,MATCH($A287,TICKETS_DATASET!$A$2:$A$301,0))="ambigu",1,0),0))</f>
        <v/>
      </c>
      <c r="O287" s="14">
        <f>IF($A287="","",IF(OR($G287&lt;&gt;"",$L287=0,$M287=0),1,0))</f>
        <v/>
      </c>
    </row>
    <row r="288" ht="34" customHeight="1">
      <c r="A288" s="5" t="n"/>
      <c r="B288" s="5" t="n"/>
      <c r="C288" s="5" t="n"/>
      <c r="D288" s="5" t="n"/>
      <c r="E288" s="10" t="n"/>
      <c r="F288" s="11" t="n"/>
      <c r="G288" s="12" t="n"/>
      <c r="H288" s="12" t="n"/>
      <c r="I288" s="13">
        <f>IFERROR(INDEX(TICKETS_DATASET!$G$2:$G$301,MATCH($A288,TICKETS_DATASET!$A$2:$A$301,0)),"")</f>
        <v/>
      </c>
      <c r="J288" s="13">
        <f>IFERROR(INDEX(TICKETS_DATASET!$D$2:$D$301,MATCH($A288,TICKETS_DATASET!$A$2:$A$301,0)),"")</f>
        <v/>
      </c>
      <c r="K288" s="13">
        <f>IFERROR(INDEX(TICKETS_DATASET!$E$2:$E$301,MATCH($A288,TICKETS_DATASET!$A$2:$A$301,0)),"")</f>
        <v/>
      </c>
      <c r="L288" s="14">
        <f>IF($A288="","",IF($B288=$I288,1,0))</f>
        <v/>
      </c>
      <c r="M288" s="14">
        <f>IF($A288="","",IF(AND($C288=$J288,$D288=$K288),1,0))</f>
        <v/>
      </c>
      <c r="N288" s="14">
        <f>IF($A288="","",IFERROR(IF(INDEX(TICKETS_DATASET!$J$2:$J$301,MATCH($A288,TICKETS_DATASET!$A$2:$A$301,0))="ambigu",1,0),0))</f>
        <v/>
      </c>
      <c r="O288" s="14">
        <f>IF($A288="","",IF(OR($G288&lt;&gt;"",$L288=0,$M288=0),1,0))</f>
        <v/>
      </c>
    </row>
    <row r="289" ht="34" customHeight="1">
      <c r="A289" s="5" t="n"/>
      <c r="B289" s="5" t="n"/>
      <c r="C289" s="5" t="n"/>
      <c r="D289" s="5" t="n"/>
      <c r="E289" s="10" t="n"/>
      <c r="F289" s="11" t="n"/>
      <c r="G289" s="12" t="n"/>
      <c r="H289" s="12" t="n"/>
      <c r="I289" s="13">
        <f>IFERROR(INDEX(TICKETS_DATASET!$G$2:$G$301,MATCH($A289,TICKETS_DATASET!$A$2:$A$301,0)),"")</f>
        <v/>
      </c>
      <c r="J289" s="13">
        <f>IFERROR(INDEX(TICKETS_DATASET!$D$2:$D$301,MATCH($A289,TICKETS_DATASET!$A$2:$A$301,0)),"")</f>
        <v/>
      </c>
      <c r="K289" s="13">
        <f>IFERROR(INDEX(TICKETS_DATASET!$E$2:$E$301,MATCH($A289,TICKETS_DATASET!$A$2:$A$301,0)),"")</f>
        <v/>
      </c>
      <c r="L289" s="14">
        <f>IF($A289="","",IF($B289=$I289,1,0))</f>
        <v/>
      </c>
      <c r="M289" s="14">
        <f>IF($A289="","",IF(AND($C289=$J289,$D289=$K289),1,0))</f>
        <v/>
      </c>
      <c r="N289" s="14">
        <f>IF($A289="","",IFERROR(IF(INDEX(TICKETS_DATASET!$J$2:$J$301,MATCH($A289,TICKETS_DATASET!$A$2:$A$301,0))="ambigu",1,0),0))</f>
        <v/>
      </c>
      <c r="O289" s="14">
        <f>IF($A289="","",IF(OR($G289&lt;&gt;"",$L289=0,$M289=0),1,0))</f>
        <v/>
      </c>
    </row>
    <row r="290" ht="34" customHeight="1">
      <c r="A290" s="5" t="n"/>
      <c r="B290" s="5" t="n"/>
      <c r="C290" s="5" t="n"/>
      <c r="D290" s="5" t="n"/>
      <c r="E290" s="10" t="n"/>
      <c r="F290" s="11" t="n"/>
      <c r="G290" s="12" t="n"/>
      <c r="H290" s="12" t="n"/>
      <c r="I290" s="13">
        <f>IFERROR(INDEX(TICKETS_DATASET!$G$2:$G$301,MATCH($A290,TICKETS_DATASET!$A$2:$A$301,0)),"")</f>
        <v/>
      </c>
      <c r="J290" s="13">
        <f>IFERROR(INDEX(TICKETS_DATASET!$D$2:$D$301,MATCH($A290,TICKETS_DATASET!$A$2:$A$301,0)),"")</f>
        <v/>
      </c>
      <c r="K290" s="13">
        <f>IFERROR(INDEX(TICKETS_DATASET!$E$2:$E$301,MATCH($A290,TICKETS_DATASET!$A$2:$A$301,0)),"")</f>
        <v/>
      </c>
      <c r="L290" s="14">
        <f>IF($A290="","",IF($B290=$I290,1,0))</f>
        <v/>
      </c>
      <c r="M290" s="14">
        <f>IF($A290="","",IF(AND($C290=$J290,$D290=$K290),1,0))</f>
        <v/>
      </c>
      <c r="N290" s="14">
        <f>IF($A290="","",IFERROR(IF(INDEX(TICKETS_DATASET!$J$2:$J$301,MATCH($A290,TICKETS_DATASET!$A$2:$A$301,0))="ambigu",1,0),0))</f>
        <v/>
      </c>
      <c r="O290" s="14">
        <f>IF($A290="","",IF(OR($G290&lt;&gt;"",$L290=0,$M290=0),1,0))</f>
        <v/>
      </c>
    </row>
    <row r="291" ht="34" customHeight="1">
      <c r="A291" s="5" t="n"/>
      <c r="B291" s="5" t="n"/>
      <c r="C291" s="5" t="n"/>
      <c r="D291" s="5" t="n"/>
      <c r="E291" s="10" t="n"/>
      <c r="F291" s="11" t="n"/>
      <c r="G291" s="12" t="n"/>
      <c r="H291" s="12" t="n"/>
      <c r="I291" s="13">
        <f>IFERROR(INDEX(TICKETS_DATASET!$G$2:$G$301,MATCH($A291,TICKETS_DATASET!$A$2:$A$301,0)),"")</f>
        <v/>
      </c>
      <c r="J291" s="13">
        <f>IFERROR(INDEX(TICKETS_DATASET!$D$2:$D$301,MATCH($A291,TICKETS_DATASET!$A$2:$A$301,0)),"")</f>
        <v/>
      </c>
      <c r="K291" s="13">
        <f>IFERROR(INDEX(TICKETS_DATASET!$E$2:$E$301,MATCH($A291,TICKETS_DATASET!$A$2:$A$301,0)),"")</f>
        <v/>
      </c>
      <c r="L291" s="14">
        <f>IF($A291="","",IF($B291=$I291,1,0))</f>
        <v/>
      </c>
      <c r="M291" s="14">
        <f>IF($A291="","",IF(AND($C291=$J291,$D291=$K291),1,0))</f>
        <v/>
      </c>
      <c r="N291" s="14">
        <f>IF($A291="","",IFERROR(IF(INDEX(TICKETS_DATASET!$J$2:$J$301,MATCH($A291,TICKETS_DATASET!$A$2:$A$301,0))="ambigu",1,0),0))</f>
        <v/>
      </c>
      <c r="O291" s="14">
        <f>IF($A291="","",IF(OR($G291&lt;&gt;"",$L291=0,$M291=0),1,0))</f>
        <v/>
      </c>
    </row>
    <row r="292" ht="34" customHeight="1">
      <c r="A292" s="5" t="n"/>
      <c r="B292" s="5" t="n"/>
      <c r="C292" s="5" t="n"/>
      <c r="D292" s="5" t="n"/>
      <c r="E292" s="10" t="n"/>
      <c r="F292" s="11" t="n"/>
      <c r="G292" s="12" t="n"/>
      <c r="H292" s="12" t="n"/>
      <c r="I292" s="13">
        <f>IFERROR(INDEX(TICKETS_DATASET!$G$2:$G$301,MATCH($A292,TICKETS_DATASET!$A$2:$A$301,0)),"")</f>
        <v/>
      </c>
      <c r="J292" s="13">
        <f>IFERROR(INDEX(TICKETS_DATASET!$D$2:$D$301,MATCH($A292,TICKETS_DATASET!$A$2:$A$301,0)),"")</f>
        <v/>
      </c>
      <c r="K292" s="13">
        <f>IFERROR(INDEX(TICKETS_DATASET!$E$2:$E$301,MATCH($A292,TICKETS_DATASET!$A$2:$A$301,0)),"")</f>
        <v/>
      </c>
      <c r="L292" s="14">
        <f>IF($A292="","",IF($B292=$I292,1,0))</f>
        <v/>
      </c>
      <c r="M292" s="14">
        <f>IF($A292="","",IF(AND($C292=$J292,$D292=$K292),1,0))</f>
        <v/>
      </c>
      <c r="N292" s="14">
        <f>IF($A292="","",IFERROR(IF(INDEX(TICKETS_DATASET!$J$2:$J$301,MATCH($A292,TICKETS_DATASET!$A$2:$A$301,0))="ambigu",1,0),0))</f>
        <v/>
      </c>
      <c r="O292" s="14">
        <f>IF($A292="","",IF(OR($G292&lt;&gt;"",$L292=0,$M292=0),1,0))</f>
        <v/>
      </c>
    </row>
    <row r="293" ht="34" customHeight="1">
      <c r="A293" s="5" t="n"/>
      <c r="B293" s="5" t="n"/>
      <c r="C293" s="5" t="n"/>
      <c r="D293" s="5" t="n"/>
      <c r="E293" s="10" t="n"/>
      <c r="F293" s="11" t="n"/>
      <c r="G293" s="12" t="n"/>
      <c r="H293" s="12" t="n"/>
      <c r="I293" s="13">
        <f>IFERROR(INDEX(TICKETS_DATASET!$G$2:$G$301,MATCH($A293,TICKETS_DATASET!$A$2:$A$301,0)),"")</f>
        <v/>
      </c>
      <c r="J293" s="13">
        <f>IFERROR(INDEX(TICKETS_DATASET!$D$2:$D$301,MATCH($A293,TICKETS_DATASET!$A$2:$A$301,0)),"")</f>
        <v/>
      </c>
      <c r="K293" s="13">
        <f>IFERROR(INDEX(TICKETS_DATASET!$E$2:$E$301,MATCH($A293,TICKETS_DATASET!$A$2:$A$301,0)),"")</f>
        <v/>
      </c>
      <c r="L293" s="14">
        <f>IF($A293="","",IF($B293=$I293,1,0))</f>
        <v/>
      </c>
      <c r="M293" s="14">
        <f>IF($A293="","",IF(AND($C293=$J293,$D293=$K293),1,0))</f>
        <v/>
      </c>
      <c r="N293" s="14">
        <f>IF($A293="","",IFERROR(IF(INDEX(TICKETS_DATASET!$J$2:$J$301,MATCH($A293,TICKETS_DATASET!$A$2:$A$301,0))="ambigu",1,0),0))</f>
        <v/>
      </c>
      <c r="O293" s="14">
        <f>IF($A293="","",IF(OR($G293&lt;&gt;"",$L293=0,$M293=0),1,0))</f>
        <v/>
      </c>
    </row>
    <row r="294" ht="34" customHeight="1">
      <c r="A294" s="5" t="n"/>
      <c r="B294" s="5" t="n"/>
      <c r="C294" s="5" t="n"/>
      <c r="D294" s="5" t="n"/>
      <c r="E294" s="10" t="n"/>
      <c r="F294" s="11" t="n"/>
      <c r="G294" s="12" t="n"/>
      <c r="H294" s="12" t="n"/>
      <c r="I294" s="13">
        <f>IFERROR(INDEX(TICKETS_DATASET!$G$2:$G$301,MATCH($A294,TICKETS_DATASET!$A$2:$A$301,0)),"")</f>
        <v/>
      </c>
      <c r="J294" s="13">
        <f>IFERROR(INDEX(TICKETS_DATASET!$D$2:$D$301,MATCH($A294,TICKETS_DATASET!$A$2:$A$301,0)),"")</f>
        <v/>
      </c>
      <c r="K294" s="13">
        <f>IFERROR(INDEX(TICKETS_DATASET!$E$2:$E$301,MATCH($A294,TICKETS_DATASET!$A$2:$A$301,0)),"")</f>
        <v/>
      </c>
      <c r="L294" s="14">
        <f>IF($A294="","",IF($B294=$I294,1,0))</f>
        <v/>
      </c>
      <c r="M294" s="14">
        <f>IF($A294="","",IF(AND($C294=$J294,$D294=$K294),1,0))</f>
        <v/>
      </c>
      <c r="N294" s="14">
        <f>IF($A294="","",IFERROR(IF(INDEX(TICKETS_DATASET!$J$2:$J$301,MATCH($A294,TICKETS_DATASET!$A$2:$A$301,0))="ambigu",1,0),0))</f>
        <v/>
      </c>
      <c r="O294" s="14">
        <f>IF($A294="","",IF(OR($G294&lt;&gt;"",$L294=0,$M294=0),1,0))</f>
        <v/>
      </c>
    </row>
    <row r="295" ht="34" customHeight="1">
      <c r="A295" s="5" t="n"/>
      <c r="B295" s="5" t="n"/>
      <c r="C295" s="5" t="n"/>
      <c r="D295" s="5" t="n"/>
      <c r="E295" s="10" t="n"/>
      <c r="F295" s="11" t="n"/>
      <c r="G295" s="12" t="n"/>
      <c r="H295" s="12" t="n"/>
      <c r="I295" s="13">
        <f>IFERROR(INDEX(TICKETS_DATASET!$G$2:$G$301,MATCH($A295,TICKETS_DATASET!$A$2:$A$301,0)),"")</f>
        <v/>
      </c>
      <c r="J295" s="13">
        <f>IFERROR(INDEX(TICKETS_DATASET!$D$2:$D$301,MATCH($A295,TICKETS_DATASET!$A$2:$A$301,0)),"")</f>
        <v/>
      </c>
      <c r="K295" s="13">
        <f>IFERROR(INDEX(TICKETS_DATASET!$E$2:$E$301,MATCH($A295,TICKETS_DATASET!$A$2:$A$301,0)),"")</f>
        <v/>
      </c>
      <c r="L295" s="14">
        <f>IF($A295="","",IF($B295=$I295,1,0))</f>
        <v/>
      </c>
      <c r="M295" s="14">
        <f>IF($A295="","",IF(AND($C295=$J295,$D295=$K295),1,0))</f>
        <v/>
      </c>
      <c r="N295" s="14">
        <f>IF($A295="","",IFERROR(IF(INDEX(TICKETS_DATASET!$J$2:$J$301,MATCH($A295,TICKETS_DATASET!$A$2:$A$301,0))="ambigu",1,0),0))</f>
        <v/>
      </c>
      <c r="O295" s="14">
        <f>IF($A295="","",IF(OR($G295&lt;&gt;"",$L295=0,$M295=0),1,0))</f>
        <v/>
      </c>
    </row>
    <row r="296" ht="34" customHeight="1">
      <c r="A296" s="5" t="n"/>
      <c r="B296" s="5" t="n"/>
      <c r="C296" s="5" t="n"/>
      <c r="D296" s="5" t="n"/>
      <c r="E296" s="10" t="n"/>
      <c r="F296" s="11" t="n"/>
      <c r="G296" s="12" t="n"/>
      <c r="H296" s="12" t="n"/>
      <c r="I296" s="13">
        <f>IFERROR(INDEX(TICKETS_DATASET!$G$2:$G$301,MATCH($A296,TICKETS_DATASET!$A$2:$A$301,0)),"")</f>
        <v/>
      </c>
      <c r="J296" s="13">
        <f>IFERROR(INDEX(TICKETS_DATASET!$D$2:$D$301,MATCH($A296,TICKETS_DATASET!$A$2:$A$301,0)),"")</f>
        <v/>
      </c>
      <c r="K296" s="13">
        <f>IFERROR(INDEX(TICKETS_DATASET!$E$2:$E$301,MATCH($A296,TICKETS_DATASET!$A$2:$A$301,0)),"")</f>
        <v/>
      </c>
      <c r="L296" s="14">
        <f>IF($A296="","",IF($B296=$I296,1,0))</f>
        <v/>
      </c>
      <c r="M296" s="14">
        <f>IF($A296="","",IF(AND($C296=$J296,$D296=$K296),1,0))</f>
        <v/>
      </c>
      <c r="N296" s="14">
        <f>IF($A296="","",IFERROR(IF(INDEX(TICKETS_DATASET!$J$2:$J$301,MATCH($A296,TICKETS_DATASET!$A$2:$A$301,0))="ambigu",1,0),0))</f>
        <v/>
      </c>
      <c r="O296" s="14">
        <f>IF($A296="","",IF(OR($G296&lt;&gt;"",$L296=0,$M296=0),1,0))</f>
        <v/>
      </c>
    </row>
    <row r="297" ht="34" customHeight="1">
      <c r="A297" s="5" t="n"/>
      <c r="B297" s="5" t="n"/>
      <c r="C297" s="5" t="n"/>
      <c r="D297" s="5" t="n"/>
      <c r="E297" s="10" t="n"/>
      <c r="F297" s="11" t="n"/>
      <c r="G297" s="12" t="n"/>
      <c r="H297" s="12" t="n"/>
      <c r="I297" s="13">
        <f>IFERROR(INDEX(TICKETS_DATASET!$G$2:$G$301,MATCH($A297,TICKETS_DATASET!$A$2:$A$301,0)),"")</f>
        <v/>
      </c>
      <c r="J297" s="13">
        <f>IFERROR(INDEX(TICKETS_DATASET!$D$2:$D$301,MATCH($A297,TICKETS_DATASET!$A$2:$A$301,0)),"")</f>
        <v/>
      </c>
      <c r="K297" s="13">
        <f>IFERROR(INDEX(TICKETS_DATASET!$E$2:$E$301,MATCH($A297,TICKETS_DATASET!$A$2:$A$301,0)),"")</f>
        <v/>
      </c>
      <c r="L297" s="14">
        <f>IF($A297="","",IF($B297=$I297,1,0))</f>
        <v/>
      </c>
      <c r="M297" s="14">
        <f>IF($A297="","",IF(AND($C297=$J297,$D297=$K297),1,0))</f>
        <v/>
      </c>
      <c r="N297" s="14">
        <f>IF($A297="","",IFERROR(IF(INDEX(TICKETS_DATASET!$J$2:$J$301,MATCH($A297,TICKETS_DATASET!$A$2:$A$301,0))="ambigu",1,0),0))</f>
        <v/>
      </c>
      <c r="O297" s="14">
        <f>IF($A297="","",IF(OR($G297&lt;&gt;"",$L297=0,$M297=0),1,0))</f>
        <v/>
      </c>
    </row>
    <row r="298" ht="34" customHeight="1">
      <c r="A298" s="5" t="n"/>
      <c r="B298" s="5" t="n"/>
      <c r="C298" s="5" t="n"/>
      <c r="D298" s="5" t="n"/>
      <c r="E298" s="10" t="n"/>
      <c r="F298" s="11" t="n"/>
      <c r="G298" s="12" t="n"/>
      <c r="H298" s="12" t="n"/>
      <c r="I298" s="13">
        <f>IFERROR(INDEX(TICKETS_DATASET!$G$2:$G$301,MATCH($A298,TICKETS_DATASET!$A$2:$A$301,0)),"")</f>
        <v/>
      </c>
      <c r="J298" s="13">
        <f>IFERROR(INDEX(TICKETS_DATASET!$D$2:$D$301,MATCH($A298,TICKETS_DATASET!$A$2:$A$301,0)),"")</f>
        <v/>
      </c>
      <c r="K298" s="13">
        <f>IFERROR(INDEX(TICKETS_DATASET!$E$2:$E$301,MATCH($A298,TICKETS_DATASET!$A$2:$A$301,0)),"")</f>
        <v/>
      </c>
      <c r="L298" s="14">
        <f>IF($A298="","",IF($B298=$I298,1,0))</f>
        <v/>
      </c>
      <c r="M298" s="14">
        <f>IF($A298="","",IF(AND($C298=$J298,$D298=$K298),1,0))</f>
        <v/>
      </c>
      <c r="N298" s="14">
        <f>IF($A298="","",IFERROR(IF(INDEX(TICKETS_DATASET!$J$2:$J$301,MATCH($A298,TICKETS_DATASET!$A$2:$A$301,0))="ambigu",1,0),0))</f>
        <v/>
      </c>
      <c r="O298" s="14">
        <f>IF($A298="","",IF(OR($G298&lt;&gt;"",$L298=0,$M298=0),1,0))</f>
        <v/>
      </c>
    </row>
    <row r="299" ht="34" customHeight="1">
      <c r="A299" s="5" t="n"/>
      <c r="B299" s="5" t="n"/>
      <c r="C299" s="5" t="n"/>
      <c r="D299" s="5" t="n"/>
      <c r="E299" s="10" t="n"/>
      <c r="F299" s="11" t="n"/>
      <c r="G299" s="12" t="n"/>
      <c r="H299" s="12" t="n"/>
      <c r="I299" s="13">
        <f>IFERROR(INDEX(TICKETS_DATASET!$G$2:$G$301,MATCH($A299,TICKETS_DATASET!$A$2:$A$301,0)),"")</f>
        <v/>
      </c>
      <c r="J299" s="13">
        <f>IFERROR(INDEX(TICKETS_DATASET!$D$2:$D$301,MATCH($A299,TICKETS_DATASET!$A$2:$A$301,0)),"")</f>
        <v/>
      </c>
      <c r="K299" s="13">
        <f>IFERROR(INDEX(TICKETS_DATASET!$E$2:$E$301,MATCH($A299,TICKETS_DATASET!$A$2:$A$301,0)),"")</f>
        <v/>
      </c>
      <c r="L299" s="14">
        <f>IF($A299="","",IF($B299=$I299,1,0))</f>
        <v/>
      </c>
      <c r="M299" s="14">
        <f>IF($A299="","",IF(AND($C299=$J299,$D299=$K299),1,0))</f>
        <v/>
      </c>
      <c r="N299" s="14">
        <f>IF($A299="","",IFERROR(IF(INDEX(TICKETS_DATASET!$J$2:$J$301,MATCH($A299,TICKETS_DATASET!$A$2:$A$301,0))="ambigu",1,0),0))</f>
        <v/>
      </c>
      <c r="O299" s="14">
        <f>IF($A299="","",IF(OR($G299&lt;&gt;"",$L299=0,$M299=0),1,0))</f>
        <v/>
      </c>
    </row>
    <row r="300" ht="34" customHeight="1">
      <c r="A300" s="5" t="n"/>
      <c r="B300" s="5" t="n"/>
      <c r="C300" s="5" t="n"/>
      <c r="D300" s="5" t="n"/>
      <c r="E300" s="10" t="n"/>
      <c r="F300" s="11" t="n"/>
      <c r="G300" s="12" t="n"/>
      <c r="H300" s="12" t="n"/>
      <c r="I300" s="13">
        <f>IFERROR(INDEX(TICKETS_DATASET!$G$2:$G$301,MATCH($A300,TICKETS_DATASET!$A$2:$A$301,0)),"")</f>
        <v/>
      </c>
      <c r="J300" s="13">
        <f>IFERROR(INDEX(TICKETS_DATASET!$D$2:$D$301,MATCH($A300,TICKETS_DATASET!$A$2:$A$301,0)),"")</f>
        <v/>
      </c>
      <c r="K300" s="13">
        <f>IFERROR(INDEX(TICKETS_DATASET!$E$2:$E$301,MATCH($A300,TICKETS_DATASET!$A$2:$A$301,0)),"")</f>
        <v/>
      </c>
      <c r="L300" s="14">
        <f>IF($A300="","",IF($B300=$I300,1,0))</f>
        <v/>
      </c>
      <c r="M300" s="14">
        <f>IF($A300="","",IF(AND($C300=$J300,$D300=$K300),1,0))</f>
        <v/>
      </c>
      <c r="N300" s="14">
        <f>IF($A300="","",IFERROR(IF(INDEX(TICKETS_DATASET!$J$2:$J$301,MATCH($A300,TICKETS_DATASET!$A$2:$A$301,0))="ambigu",1,0),0))</f>
        <v/>
      </c>
      <c r="O300" s="14">
        <f>IF($A300="","",IF(OR($G300&lt;&gt;"",$L300=0,$M300=0),1,0))</f>
        <v/>
      </c>
    </row>
    <row r="301" ht="34" customHeight="1">
      <c r="A301" s="5" t="n"/>
      <c r="B301" s="5" t="n"/>
      <c r="C301" s="5" t="n"/>
      <c r="D301" s="5" t="n"/>
      <c r="E301" s="10" t="n"/>
      <c r="F301" s="11" t="n"/>
      <c r="G301" s="12" t="n"/>
      <c r="H301" s="12" t="n"/>
      <c r="I301" s="13">
        <f>IFERROR(INDEX(TICKETS_DATASET!$G$2:$G$301,MATCH($A301,TICKETS_DATASET!$A$2:$A$301,0)),"")</f>
        <v/>
      </c>
      <c r="J301" s="13">
        <f>IFERROR(INDEX(TICKETS_DATASET!$D$2:$D$301,MATCH($A301,TICKETS_DATASET!$A$2:$A$301,0)),"")</f>
        <v/>
      </c>
      <c r="K301" s="13">
        <f>IFERROR(INDEX(TICKETS_DATASET!$E$2:$E$301,MATCH($A301,TICKETS_DATASET!$A$2:$A$301,0)),"")</f>
        <v/>
      </c>
      <c r="L301" s="14">
        <f>IF($A301="","",IF($B301=$I301,1,0))</f>
        <v/>
      </c>
      <c r="M301" s="14">
        <f>IF($A301="","",IF(AND($C301=$J301,$D301=$K301),1,0))</f>
        <v/>
      </c>
      <c r="N301" s="14">
        <f>IF($A301="","",IFERROR(IF(INDEX(TICKETS_DATASET!$J$2:$J$301,MATCH($A301,TICKETS_DATASET!$A$2:$A$301,0))="ambigu",1,0),0))</f>
        <v/>
      </c>
      <c r="O301" s="14">
        <f>IF($A301="","",IF(OR($G301&lt;&gt;"",$L301=0,$M301=0),1,0))</f>
        <v/>
      </c>
    </row>
  </sheetData>
  <conditionalFormatting sqref="L2:M301">
    <cfRule type="cellIs" priority="1" operator="equal" dxfId="0" stopIfTrue="1">
      <formula>0</formula>
    </cfRule>
    <cfRule type="cellIs" priority="2" operator="equal" dxfId="1" stopIfTrue="1">
      <formula>1</formula>
    </cfRule>
  </conditionalFormatting>
  <conditionalFormatting sqref="O2:O301">
    <cfRule type="cellIs" priority="3" operator="equal" dxfId="2" stopIfTrue="1">
      <formula>1</formula>
    </cfRule>
  </conditionalFormatting>
  <dataValidations count="1">
    <dataValidation sqref="B2:B301" showDropDown="0" showInputMessage="0" showErrorMessage="0" allowBlank="1" type="list">
      <formula1>"extract_nav,compute_pnl,none"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2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5" t="inlineStr">
        <is>
          <t>KPIs de backtest</t>
        </is>
      </c>
    </row>
    <row r="2" ht="22" customHeight="1"/>
    <row r="3" ht="22" customHeight="1">
      <c r="A3" s="2" t="inlineStr">
        <is>
          <t>Metric</t>
        </is>
      </c>
      <c r="B3" s="2" t="inlineStr">
        <is>
          <t>Valeur</t>
        </is>
      </c>
      <c r="C3" s="2" t="inlineStr">
        <is>
          <t>Commentaire</t>
        </is>
      </c>
    </row>
    <row r="4" ht="22" customHeight="1">
      <c r="A4" t="inlineStr">
        <is>
          <t>Tickets analysés</t>
        </is>
      </c>
      <c r="B4">
        <f>COUNTIF(RESULTAT_AGENT!A2:A301,"&lt;&gt;")</f>
        <v/>
      </c>
      <c r="C4" t="inlineStr">
        <is>
          <t>Volume total rejoué</t>
        </is>
      </c>
    </row>
    <row r="5" ht="22" customHeight="1">
      <c r="A5" t="inlineStr">
        <is>
          <t>Tool accuracy</t>
        </is>
      </c>
      <c r="B5" s="16">
        <f>IFERROR(AVERAGE(RESULTAT_AGENT!L2:L301),0)</f>
        <v/>
      </c>
      <c r="C5" t="inlineStr">
        <is>
          <t>Taux de bon choix du tool</t>
        </is>
      </c>
    </row>
    <row r="6" ht="22" customHeight="1">
      <c r="A6" t="inlineStr">
        <is>
          <t>Arguments accuracy</t>
        </is>
      </c>
      <c r="B6" s="16">
        <f>IFERROR(AVERAGE(RESULTAT_AGENT!M2:M301),0)</f>
        <v/>
      </c>
      <c r="C6" t="inlineStr">
        <is>
          <t>Taux de bons arguments</t>
        </is>
      </c>
    </row>
    <row r="7" ht="22" customHeight="1">
      <c r="A7" t="inlineStr">
        <is>
          <t>Temps moyen (sec)</t>
        </is>
      </c>
      <c r="B7">
        <f>IFERROR(AVERAGE(RESULTAT_AGENT!F2:F301),0)</f>
        <v/>
      </c>
      <c r="C7" t="inlineStr">
        <is>
          <t>Temps moyen de bout en bout</t>
        </is>
      </c>
    </row>
    <row r="8" ht="22" customHeight="1">
      <c r="A8" t="inlineStr">
        <is>
          <t>Erreurs exécution</t>
        </is>
      </c>
      <c r="B8">
        <f>COUNTIF(RESULTAT_AGENT!G2:G301,"&lt;&gt;")</f>
        <v/>
      </c>
      <c r="C8" t="inlineStr">
        <is>
          <t>Erreurs techniques remontées</t>
        </is>
      </c>
    </row>
    <row r="9" ht="22" customHeight="1">
      <c r="A9" t="inlineStr">
        <is>
          <t>Tickets ambigus</t>
        </is>
      </c>
      <c r="B9">
        <f>SUM(RESULTAT_AGENT!N2:N301)</f>
        <v/>
      </c>
      <c r="C9" t="inlineStr">
        <is>
          <t>Tickets marqués ambigus dans le dataset</t>
        </is>
      </c>
    </row>
    <row r="10" ht="22" customHeight="1">
      <c r="A10" t="inlineStr">
        <is>
          <t>Réponses à revoir</t>
        </is>
      </c>
      <c r="B10">
        <f>SUM(RESULTAT_AGENT!O2:O301)</f>
        <v/>
      </c>
      <c r="C10" t="inlineStr">
        <is>
          <t>Tickets à revoir manuellement</t>
        </is>
      </c>
    </row>
    <row r="11" ht="22" customHeight="1"/>
    <row r="12" ht="22" customHeight="1"/>
    <row r="13" ht="22" customHeight="1">
      <c r="A13" s="2" t="inlineStr">
        <is>
          <t>Matrice de confusion simple</t>
        </is>
      </c>
    </row>
    <row r="14" ht="22" customHeight="1"/>
    <row r="15" ht="22" customHeight="1">
      <c r="A15" t="inlineStr">
        <is>
          <t>Attendu \ Prédit</t>
        </is>
      </c>
      <c r="B15" s="17" t="inlineStr">
        <is>
          <t>extract_nav</t>
        </is>
      </c>
      <c r="C15" s="17" t="inlineStr">
        <is>
          <t>compute_pnl</t>
        </is>
      </c>
      <c r="D15" s="17" t="inlineStr">
        <is>
          <t>none</t>
        </is>
      </c>
    </row>
    <row r="16" ht="22" customHeight="1">
      <c r="A16" s="17" t="inlineStr">
        <is>
          <t>extract_nav</t>
        </is>
      </c>
      <c r="B16">
        <f>COUNTIFS(RESULTAT_AGENT!$I$2:$I$301,$A16,RESULTAT_AGENT!$B$2:$B$301,B$15)</f>
        <v/>
      </c>
      <c r="C16">
        <f>COUNTIFS(RESULTAT_AGENT!$I$2:$I$301,$A16,RESULTAT_AGENT!$B$2:$B$301,C$15)</f>
        <v/>
      </c>
      <c r="D16">
        <f>COUNTIFS(RESULTAT_AGENT!$I$2:$I$301,$A16,RESULTAT_AGENT!$B$2:$B$301,D$15)</f>
        <v/>
      </c>
    </row>
    <row r="17" ht="22" customHeight="1">
      <c r="A17" s="17" t="inlineStr">
        <is>
          <t>compute_pnl</t>
        </is>
      </c>
      <c r="B17">
        <f>COUNTIFS(RESULTAT_AGENT!$I$2:$I$301,$A17,RESULTAT_AGENT!$B$2:$B$301,B$15)</f>
        <v/>
      </c>
      <c r="C17">
        <f>COUNTIFS(RESULTAT_AGENT!$I$2:$I$301,$A17,RESULTAT_AGENT!$B$2:$B$301,C$15)</f>
        <v/>
      </c>
      <c r="D17">
        <f>COUNTIFS(RESULTAT_AGENT!$I$2:$I$301,$A17,RESULTAT_AGENT!$B$2:$B$301,D$15)</f>
        <v/>
      </c>
    </row>
    <row r="18" ht="22" customHeight="1">
      <c r="A18" s="17" t="inlineStr">
        <is>
          <t>none</t>
        </is>
      </c>
      <c r="B18">
        <f>COUNTIFS(RESULTAT_AGENT!$I$2:$I$301,$A18,RESULTAT_AGENT!$B$2:$B$301,B$15)</f>
        <v/>
      </c>
      <c r="C18">
        <f>COUNTIFS(RESULTAT_AGENT!$I$2:$I$301,$A18,RESULTAT_AGENT!$B$2:$B$301,C$15)</f>
        <v/>
      </c>
      <c r="D18">
        <f>COUNTIFS(RESULTAT_AGENT!$I$2:$I$301,$A18,RESULTAT_AGENT!$B$2:$B$301,D$15)</f>
        <v/>
      </c>
    </row>
    <row r="19" ht="22" customHeight="1"/>
    <row r="20" ht="22" customHeight="1"/>
    <row r="21" ht="22" customHeight="1">
      <c r="A21" s="2" t="inlineStr">
        <is>
          <t>Répartition des tools choisis</t>
        </is>
      </c>
    </row>
    <row r="22" ht="22" customHeight="1">
      <c r="A22" s="18" t="inlineStr">
        <is>
          <t>Tool</t>
        </is>
      </c>
      <c r="B22" s="18" t="inlineStr">
        <is>
          <t>Nb tickets</t>
        </is>
      </c>
    </row>
    <row r="23" ht="22" customHeight="1">
      <c r="A23" t="inlineStr">
        <is>
          <t>extract_nav</t>
        </is>
      </c>
      <c r="B23">
        <f>COUNTIF(RESULTAT_AGENT!$B$2:$B$301,A23)</f>
        <v/>
      </c>
    </row>
    <row r="24" ht="22" customHeight="1">
      <c r="A24" t="inlineStr">
        <is>
          <t>compute_pnl</t>
        </is>
      </c>
      <c r="B24">
        <f>COUNTIF(RESULTAT_AGENT!$B$2:$B$301,A24)</f>
        <v/>
      </c>
    </row>
    <row r="25" ht="22" customHeight="1">
      <c r="A25" t="inlineStr">
        <is>
          <t>none</t>
        </is>
      </c>
      <c r="B25">
        <f>COUNTIF(RESULTAT_AGENT!$B$2:$B$301,A25)</f>
        <v/>
      </c>
    </row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2026-03-07T05:42:22Z</dcterms:created>
  <dcterms:modified xmlns:dcterms="http://purl.org/dc/terms/" xmlns:xsi="http://www.w3.org/2001/XMLSchema-instance" xsi:type="dcterms:W3CDTF">2026-03-07T05:42:22Z</dcterms:modified>
</cp:coreProperties>
</file>